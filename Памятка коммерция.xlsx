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artem/Desktop/"/>
    </mc:Choice>
  </mc:AlternateContent>
  <xr:revisionPtr revIDLastSave="0" documentId="13_ncr:1_{CE0AED0F-7BAE-724B-A386-E3D4ADB1E2FA}" xr6:coauthVersionLast="47" xr6:coauthVersionMax="47" xr10:uidLastSave="{00000000-0000-0000-0000-000000000000}"/>
  <bookViews>
    <workbookView xWindow="0" yWindow="620" windowWidth="33600" windowHeight="18500" tabRatio="500" activeTab="1" xr2:uid="{00000000-000D-0000-FFFF-FFFF00000000}"/>
  </bookViews>
  <sheets>
    <sheet name="Инструкция" sheetId="1" r:id="rId1"/>
    <sheet name="Коммерция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2" l="1"/>
  <c r="E19" i="2"/>
  <c r="E20" i="2"/>
  <c r="E21" i="2"/>
  <c r="E22" i="2"/>
  <c r="E23" i="2"/>
  <c r="K128" i="2"/>
  <c r="K127" i="2"/>
  <c r="K126" i="2"/>
  <c r="K125" i="2"/>
  <c r="K124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7" i="2"/>
  <c r="K105" i="2"/>
  <c r="K104" i="2"/>
  <c r="K103" i="2"/>
  <c r="K102" i="2"/>
  <c r="K101" i="2"/>
  <c r="K100" i="2"/>
  <c r="K99" i="2"/>
  <c r="K98" i="2"/>
  <c r="K97" i="2"/>
  <c r="K96" i="2"/>
  <c r="K95" i="2"/>
  <c r="K94" i="2"/>
  <c r="K92" i="2"/>
  <c r="K91" i="2"/>
  <c r="K90" i="2"/>
  <c r="K89" i="2"/>
  <c r="K88" i="2"/>
  <c r="K87" i="2"/>
  <c r="K86" i="2"/>
  <c r="K85" i="2"/>
  <c r="K84" i="2"/>
  <c r="K82" i="2"/>
  <c r="K81" i="2"/>
  <c r="K80" i="2"/>
  <c r="K79" i="2"/>
  <c r="K78" i="2"/>
  <c r="K77" i="2"/>
  <c r="K76" i="2"/>
  <c r="E69" i="2"/>
  <c r="K75" i="2"/>
  <c r="E68" i="2"/>
  <c r="K74" i="2"/>
  <c r="E67" i="2"/>
  <c r="E66" i="2"/>
  <c r="K72" i="2"/>
  <c r="E65" i="2"/>
  <c r="K71" i="2"/>
  <c r="E64" i="2"/>
  <c r="K70" i="2"/>
  <c r="E63" i="2"/>
  <c r="K69" i="2"/>
  <c r="E62" i="2"/>
  <c r="K68" i="2"/>
  <c r="E61" i="2"/>
  <c r="K67" i="2"/>
  <c r="E60" i="2"/>
  <c r="K66" i="2"/>
  <c r="E59" i="2"/>
  <c r="K65" i="2"/>
  <c r="E58" i="2"/>
  <c r="E57" i="2"/>
  <c r="K63" i="2"/>
  <c r="K62" i="2"/>
  <c r="E55" i="2"/>
  <c r="K61" i="2"/>
  <c r="E54" i="2"/>
  <c r="K60" i="2"/>
  <c r="E53" i="2"/>
  <c r="K59" i="2"/>
  <c r="E52" i="2"/>
  <c r="K58" i="2"/>
  <c r="E51" i="2"/>
  <c r="K57" i="2"/>
  <c r="E50" i="2"/>
  <c r="K56" i="2"/>
  <c r="E49" i="2"/>
  <c r="K55" i="2"/>
  <c r="E48" i="2"/>
  <c r="K54" i="2"/>
  <c r="E47" i="2"/>
  <c r="K53" i="2"/>
  <c r="E46" i="2"/>
  <c r="K52" i="2"/>
  <c r="E45" i="2"/>
  <c r="E44" i="2"/>
  <c r="K50" i="2"/>
  <c r="E43" i="2"/>
  <c r="K49" i="2"/>
  <c r="E42" i="2"/>
  <c r="K48" i="2"/>
  <c r="E41" i="2"/>
  <c r="K47" i="2"/>
  <c r="E40" i="2"/>
  <c r="K46" i="2"/>
  <c r="E39" i="2"/>
  <c r="K45" i="2"/>
  <c r="E38" i="2"/>
  <c r="K44" i="2"/>
  <c r="E37" i="2"/>
  <c r="K43" i="2"/>
  <c r="E36" i="2"/>
  <c r="K42" i="2"/>
  <c r="E35" i="2"/>
  <c r="K41" i="2"/>
  <c r="E34" i="2"/>
  <c r="K40" i="2"/>
  <c r="E33" i="2"/>
  <c r="K39" i="2"/>
  <c r="E32" i="2"/>
  <c r="K38" i="2"/>
  <c r="E31" i="2"/>
  <c r="K37" i="2"/>
  <c r="E30" i="2"/>
  <c r="Q45" i="2"/>
  <c r="K36" i="2"/>
  <c r="E29" i="2"/>
  <c r="Q44" i="2"/>
  <c r="K35" i="2"/>
  <c r="E28" i="2"/>
  <c r="Q43" i="2"/>
  <c r="K34" i="2"/>
  <c r="E27" i="2"/>
  <c r="Q42" i="2"/>
  <c r="K33" i="2"/>
  <c r="E26" i="2"/>
  <c r="Q41" i="2"/>
  <c r="K32" i="2"/>
  <c r="E25" i="2"/>
  <c r="K31" i="2"/>
  <c r="E24" i="2"/>
  <c r="Q39" i="2"/>
  <c r="K30" i="2"/>
  <c r="Q38" i="2"/>
  <c r="K29" i="2"/>
  <c r="Q37" i="2"/>
  <c r="Q36" i="2"/>
  <c r="K27" i="2"/>
  <c r="Q35" i="2"/>
  <c r="K26" i="2"/>
  <c r="Q34" i="2"/>
  <c r="K25" i="2"/>
  <c r="K24" i="2"/>
  <c r="K23" i="2"/>
  <c r="K22" i="2"/>
  <c r="Q32" i="2"/>
  <c r="K21" i="2"/>
  <c r="Q31" i="2"/>
  <c r="K20" i="2"/>
  <c r="K19" i="2"/>
  <c r="Q29" i="2"/>
  <c r="Q28" i="2"/>
  <c r="Q27" i="2"/>
  <c r="Q25" i="2"/>
  <c r="Q24" i="2"/>
  <c r="Q23" i="2"/>
  <c r="Q22" i="2"/>
  <c r="K17" i="2"/>
  <c r="Q21" i="2"/>
  <c r="K16" i="2"/>
  <c r="Q20" i="2"/>
  <c r="Q19" i="2"/>
  <c r="Q18" i="2"/>
  <c r="Q17" i="2"/>
  <c r="Q15" i="2"/>
  <c r="Q14" i="2"/>
  <c r="Q13" i="2"/>
  <c r="Q11" i="2"/>
  <c r="E16" i="2"/>
  <c r="Q10" i="2"/>
  <c r="K14" i="2"/>
  <c r="E15" i="2"/>
  <c r="K13" i="2"/>
  <c r="E14" i="2"/>
  <c r="K12" i="2"/>
  <c r="E13" i="2"/>
  <c r="K11" i="2"/>
  <c r="E12" i="2"/>
  <c r="K10" i="2"/>
  <c r="E11" i="2"/>
  <c r="K9" i="2"/>
  <c r="E10" i="2"/>
  <c r="K8" i="2"/>
  <c r="E9" i="2"/>
  <c r="K7" i="2"/>
  <c r="Q8" i="2"/>
  <c r="K6" i="2"/>
  <c r="Q7" i="2"/>
  <c r="Q6" i="2"/>
  <c r="E7" i="2"/>
  <c r="E6" i="2"/>
</calcChain>
</file>

<file path=xl/sharedStrings.xml><?xml version="1.0" encoding="utf-8"?>
<sst xmlns="http://schemas.openxmlformats.org/spreadsheetml/2006/main" count="364" uniqueCount="304">
  <si>
    <t>1. ИНСТРУКЦИЯ ПО РАБОТЕ С ТАБЛИЦЕЙ</t>
  </si>
  <si>
    <t>1. Выберите тип объекта</t>
  </si>
  <si>
    <t>В ячейках C2 (Яндекс), I2 (Циан), O2 (Авито) выберите нужный тип недвижимости из выпадающего списка.
После выбора ненужные параметры автоматически станут серыми — их можно не заполнять.</t>
  </si>
  <si>
    <t>2. Сверьте с площадкой</t>
  </si>
  <si>
    <t>Откройте карточку объекта на классифайде (Яндекс.Недвижимость / Циан / Авито).
В столбце «Есть ли на площадке?» отметьте «Да» или «Нет» — что уже опубликовано.</t>
  </si>
  <si>
    <t>3. Посмотрите, что можно добавить</t>
  </si>
  <si>
    <t>4. Заполните столбец «Данные»</t>
  </si>
  <si>
    <t>Внесите полученные значения в столбец «Данные» напротив каждого параметра.
Если параметр неактуален или клиент не предоставил данные — оставьте пустым.</t>
  </si>
  <si>
    <t>5. Передайте техническому специалисту</t>
  </si>
  <si>
    <t>После заполнения отправьте файл техническому специалисту.
Он внесёт данные в выгрузку / XML / личный кабинет площадки.</t>
  </si>
  <si>
    <t>⚠️ Важно: не заполняйте серые (неактуальные) параметры — они не используются для выбранного типа объекта и могут быть отклонены модерацией.</t>
  </si>
  <si>
    <t>2. ПАМЯТКА ПО ТИПАМ КОММЕРЧЕСКОЙ НЕДВИЖИМОСТИ</t>
  </si>
  <si>
    <t>Выбирайте тип по основному назначению объекта. Если сомневаетесь — смотрите примеры ниже. У разных площадок набор типов немного отличается.</t>
  </si>
  <si>
    <t>Тип</t>
  </si>
  <si>
    <t>Что сюда относится (примеры)</t>
  </si>
  <si>
    <t>Яндекс</t>
  </si>
  <si>
    <t>Циан</t>
  </si>
  <si>
    <t>Авито</t>
  </si>
  <si>
    <t>Офис</t>
  </si>
  <si>
    <t>Бизнес-центры, офисные блоки, кабинеты, коворкинги, административные помещения.</t>
  </si>
  <si>
    <t>Да</t>
  </si>
  <si>
    <t>Торговая / Торговая площадь</t>
  </si>
  <si>
    <t>Магазины, бутики, торговые павильоны, помещения в ТЦ, стрит-ритейл, отделы.</t>
  </si>
  <si>
    <t>Да (Торговая)</t>
  </si>
  <si>
    <t>ПСН (Помещение свободного назначения)</t>
  </si>
  <si>
    <t>Помещения без жёсткого назначения: можно под офис, магазин, салон, склад небольшого формата. Часто на 1-м этаже жилых домов.</t>
  </si>
  <si>
    <t>Склад</t>
  </si>
  <si>
    <t>Складские комплексы, ангары, боксы, логистические терминалы, холодные/тёплые склады, ответственное хранение.</t>
  </si>
  <si>
    <t>Производство</t>
  </si>
  <si>
    <t>Производственные цеха, мастерские, промзоны, помещения под производство с оборудованием / без.</t>
  </si>
  <si>
    <t>Общепит</t>
  </si>
  <si>
    <t>Кафе, рестораны, столовые, фуд-корты, бары, пекарни с посадочными местами.</t>
  </si>
  <si>
    <t>—</t>
  </si>
  <si>
    <t>Гостиница</t>
  </si>
  <si>
    <t>Гостиницы, отели, хостелы, апарт-отели, гостевые дома.</t>
  </si>
  <si>
    <t>Здание</t>
  </si>
  <si>
    <t>Отдельно стоящее здание целиком (офисное, торговое, складское, смешанное). Продажа/аренда всего здания.</t>
  </si>
  <si>
    <t>Земля / Земельный участок</t>
  </si>
  <si>
    <t>Участки под коммерцию, ИЖС (если под бизнес), промназначение, под строительство ТЦ/склада и т.п.</t>
  </si>
  <si>
    <t>Да (Земля)</t>
  </si>
  <si>
    <t>Готовый бизнес</t>
  </si>
  <si>
    <t>Действующий бизнес вместе с помещением / без: франшиза, точка с оборудованием, клиентской базой, договором аренды.</t>
  </si>
  <si>
    <t>Гараж / Машиноместо</t>
  </si>
  <si>
    <t>Гаражи, машино-места в паркингах, боксы. Отдельное парковочное место в подземном/наземном паркинге.</t>
  </si>
  <si>
    <t>Да (Гараж)</t>
  </si>
  <si>
    <t>Автосервис</t>
  </si>
  <si>
    <t>Автомойки, шиномонтажи, СТО, автосервисы, детейлинговые центры.</t>
  </si>
  <si>
    <t>Кладовая</t>
  </si>
  <si>
    <t>Кладовые помещения, келлеры, небольшие ячейки хранения в жилых/коммерческих комплексах.</t>
  </si>
  <si>
    <t>3. СЛОЖНЫЕ / ПОГРАНИЧНЫЕ СЛУЧАИ — КУДА ОТНОСИТЬ</t>
  </si>
  <si>
    <t>Если объект можно отнести к нескольким типам — выбирайте по основному текущему или целевому использованию.</t>
  </si>
  <si>
    <t>Ситуация</t>
  </si>
  <si>
    <t>Куда относить</t>
  </si>
  <si>
    <t>Парковочное место / машино-место</t>
  </si>
  <si>
    <t>Циан → «Гараж». На Яндексе и Авито отдельного типа часто нет — обычно публикуют как часть здания или через «Здание» / «ПСН» (уточняйте у техспециалиста).</t>
  </si>
  <si>
    <t>Торговый павильон на парковке / у ТЦ</t>
  </si>
  <si>
    <t>Торговая площадь (или ПСН, если назначение свободное).</t>
  </si>
  <si>
    <t>Помещение под кафе в ТЦ</t>
  </si>
  <si>
    <t>Общепит (Яндекс/Авито) или Торговая / ПСН. Если есть посадочные места и кухня — лучше Общепит.</t>
  </si>
  <si>
    <t>Офис на складе / административная часть склада</t>
  </si>
  <si>
    <t>Склад (основное назначение). Если отдельно сдаётся только офисная часть — Офис.</t>
  </si>
  <si>
    <t>Помещение на 1-м этаже жилого дома (можно под магазин или офис)</t>
  </si>
  <si>
    <t>ПСН — самый универсальный вариант. Если уже согласовано под торговлю — Торговая.</t>
  </si>
  <si>
    <t>Автомойка / шиномонтаж</t>
  </si>
  <si>
    <t>Авито → «Автосервис». На Яндексе/Циане чаще Склад / Производство / ПСН (смотрите, что лучше проходит модерацию).</t>
  </si>
  <si>
    <t>Кладовая / келлер в ЖК</t>
  </si>
  <si>
    <t>Авито → «Кладовая». На других площадках — обычно ПСН или часть жилого/коммерческого объекта.</t>
  </si>
  <si>
    <t>Отдельно стоящее здание с несколькими арендаторами</t>
  </si>
  <si>
    <t>Здание (если сдаётся/продаётся целиком) или по помещениям — Офис / Торговая / ПСН.</t>
  </si>
  <si>
    <t>Земельный участок с небольшим строением</t>
  </si>
  <si>
    <t>Если главное — земля → Земля. Если главное — строение → соответствующий тип здания/помещения.</t>
  </si>
  <si>
    <t>Готовый магазин / точка с оборудованием и выручкой</t>
  </si>
  <si>
    <t>Готовый бизнес (Яндекс/Циан). На Авито — как Торговая + описание бизнеса в тексте.</t>
  </si>
  <si>
    <t>При сомнениях — лучше уточнить у технического специалиста или менеджера площадки, чем выбрать неверный тип (это влияет на модерацию и поиск).</t>
  </si>
  <si>
    <t xml:space="preserve">  ЯНДЕКС.НЕДВИЖИМОСТЬ</t>
  </si>
  <si>
    <t xml:space="preserve">  ЦИАН</t>
  </si>
  <si>
    <t xml:space="preserve">  АВИТО</t>
  </si>
  <si>
    <t>Тип объекта (выберите):</t>
  </si>
  <si>
    <t>Все типы</t>
  </si>
  <si>
    <t>№</t>
  </si>
  <si>
    <t>Название параметра</t>
  </si>
  <si>
    <t>Есть ли на площадке?</t>
  </si>
  <si>
    <t>Данные</t>
  </si>
  <si>
    <t>Актуально?</t>
  </si>
  <si>
    <t xml:space="preserve">  1. ОБЩИЕ ПАРАМЕТРЫ И ПРОДВИЖЕНИЕ</t>
  </si>
  <si>
    <t xml:space="preserve">  1. СИСТЕМНЫЕ И ПРОДВИЖЕНИЕ</t>
  </si>
  <si>
    <t>Рекомендуемое назначение</t>
  </si>
  <si>
    <t>Кадастровый номер</t>
  </si>
  <si>
    <t>Вариант задания цены</t>
  </si>
  <si>
    <t>Способ продажи</t>
  </si>
  <si>
    <t xml:space="preserve">  2. РАСПОЛОЖЕНИЕ И ОРИЕНТИРЫ</t>
  </si>
  <si>
    <t>Координаты — широта</t>
  </si>
  <si>
    <t>Объект забронирован</t>
  </si>
  <si>
    <t>Координаты — долгота</t>
  </si>
  <si>
    <t>Район в нас. пункте</t>
  </si>
  <si>
    <t>Скрыть точный адрес</t>
  </si>
  <si>
    <t>ID шоссе</t>
  </si>
  <si>
    <t>Номер помещения</t>
  </si>
  <si>
    <t>Удалённость от МКАД/города</t>
  </si>
  <si>
    <t>Метро — название</t>
  </si>
  <si>
    <t>ID метро</t>
  </si>
  <si>
    <t>Метро — пешком (мин)</t>
  </si>
  <si>
    <t>Время до метро (мин)</t>
  </si>
  <si>
    <t>Метро — на транспорте (мин)</t>
  </si>
  <si>
    <t>Способ до метро</t>
  </si>
  <si>
    <t>Географическая широта</t>
  </si>
  <si>
    <t>Ж/д станция</t>
  </si>
  <si>
    <t>Географическая долгота</t>
  </si>
  <si>
    <t>Фотографии объекта</t>
  </si>
  <si>
    <t>Ссылка на видео</t>
  </si>
  <si>
    <t>Прямой видеофайл</t>
  </si>
  <si>
    <t>Дополнительные назначения</t>
  </si>
  <si>
    <t>НДС включён в цену</t>
  </si>
  <si>
    <t>Тип помещения (торговля)</t>
  </si>
  <si>
    <t>Отдельный вход</t>
  </si>
  <si>
    <t>Валюта сделки</t>
  </si>
  <si>
    <t>Несколько этажей</t>
  </si>
  <si>
    <t>Тип договора</t>
  </si>
  <si>
    <t>Объём кладовой</t>
  </si>
  <si>
    <t>Мощность электросети</t>
  </si>
  <si>
    <t>Возможность увеличения мощности</t>
  </si>
  <si>
    <t>Выписка ЕГРН (ссылка)</t>
  </si>
  <si>
    <t>Статус готовности здания</t>
  </si>
  <si>
    <t>Класс здания</t>
  </si>
  <si>
    <t>Удалённость от дороги</t>
  </si>
  <si>
    <t>Состояние и ремонт</t>
  </si>
  <si>
    <t>Планировка</t>
  </si>
  <si>
    <t>Дополнительно о парковке</t>
  </si>
  <si>
    <t>Вход в помещение</t>
  </si>
  <si>
    <t>Количество мест на парковке</t>
  </si>
  <si>
    <t>Умные фото</t>
  </si>
  <si>
    <t>Помещение занято</t>
  </si>
  <si>
    <t>Ремонт</t>
  </si>
  <si>
    <t>Дата освобождения</t>
  </si>
  <si>
    <t>Состояние</t>
  </si>
  <si>
    <t>Юридический адрес</t>
  </si>
  <si>
    <t>Текст описания</t>
  </si>
  <si>
    <t>Количество мокрых точек</t>
  </si>
  <si>
    <t>Помещение сдано в аренду</t>
  </si>
  <si>
    <t>Ссылка на YouTube</t>
  </si>
  <si>
    <t>Наличие мебели</t>
  </si>
  <si>
    <t>Название / бренд арендатора</t>
  </si>
  <si>
    <t>Онлайн-показ</t>
  </si>
  <si>
    <t>Наличие оборудования</t>
  </si>
  <si>
    <t>Месячный арендный платёж</t>
  </si>
  <si>
    <t>Срок окончания аренды</t>
  </si>
  <si>
    <t>Название БЦ / ТЦ</t>
  </si>
  <si>
    <t>Ежегодная индексация аренды</t>
  </si>
  <si>
    <t>ID БЦ / ТЦ</t>
  </si>
  <si>
    <t>Процент с товарооборота</t>
  </si>
  <si>
    <t>Количество комнат</t>
  </si>
  <si>
    <t>Вход</t>
  </si>
  <si>
    <t>Тип / назначение здания</t>
  </si>
  <si>
    <t>Охрана</t>
  </si>
  <si>
    <t>Свободная планировка</t>
  </si>
  <si>
    <t>Линия домов</t>
  </si>
  <si>
    <t>Подъезд машины</t>
  </si>
  <si>
    <t>Количество телефонных линий</t>
  </si>
  <si>
    <t>Год постройки</t>
  </si>
  <si>
    <t>Доступ (график)</t>
  </si>
  <si>
    <t>Доп. телефонные линии по запросу</t>
  </si>
  <si>
    <t>Материал стен</t>
  </si>
  <si>
    <t>Освещение</t>
  </si>
  <si>
    <t>Интернет</t>
  </si>
  <si>
    <t>Высота потолков</t>
  </si>
  <si>
    <t>Розетки</t>
  </si>
  <si>
    <t>Выбор интернет-провайдера</t>
  </si>
  <si>
    <t>Отопление</t>
  </si>
  <si>
    <t>Вентиляция</t>
  </si>
  <si>
    <t>Кондиционер</t>
  </si>
  <si>
    <t>Кондиционирование</t>
  </si>
  <si>
    <t>Пожаротушение</t>
  </si>
  <si>
    <t>Пожарная сигнализация</t>
  </si>
  <si>
    <t>Лифты — тип</t>
  </si>
  <si>
    <t>Водопровод</t>
  </si>
  <si>
    <t>Лифты — количество</t>
  </si>
  <si>
    <t>Канализация</t>
  </si>
  <si>
    <t>Грузоподъёмность лифтов</t>
  </si>
  <si>
    <t>Электричество</t>
  </si>
  <si>
    <t>Статус строения</t>
  </si>
  <si>
    <t>Газовые сети</t>
  </si>
  <si>
    <t>Застройщик</t>
  </si>
  <si>
    <t>Выделенная мощность</t>
  </si>
  <si>
    <t>Управляющая компания</t>
  </si>
  <si>
    <t>Покрытие пола</t>
  </si>
  <si>
    <t>Режим доступа</t>
  </si>
  <si>
    <t>Тип окон</t>
  </si>
  <si>
    <t>ID / название ЖК</t>
  </si>
  <si>
    <t>Вид из окон</t>
  </si>
  <si>
    <t>Корпус ЖК</t>
  </si>
  <si>
    <t>Квартира / секция ЖК</t>
  </si>
  <si>
    <t>Наличие лифта</t>
  </si>
  <si>
    <t>Буфет</t>
  </si>
  <si>
    <t>Круглосуточный доступ 24/7</t>
  </si>
  <si>
    <t>Столовая</t>
  </si>
  <si>
    <t>Охрана здания</t>
  </si>
  <si>
    <t>Центральная рецепция</t>
  </si>
  <si>
    <t>Охраняемая парковка</t>
  </si>
  <si>
    <t>Гостиница в комплексе</t>
  </si>
  <si>
    <t>Мест на парковке</t>
  </si>
  <si>
    <t>Банкомат</t>
  </si>
  <si>
    <t>Стоимость машиноместа</t>
  </si>
  <si>
    <t>Фуд-корт</t>
  </si>
  <si>
    <t>Гостевая парковка</t>
  </si>
  <si>
    <t>Аптека</t>
  </si>
  <si>
    <t>Гостевых мест</t>
  </si>
  <si>
    <t>Отделение банка</t>
  </si>
  <si>
    <t>Общепит в здании</t>
  </si>
  <si>
    <t>Кафе / Ресторан</t>
  </si>
  <si>
    <t>Элитность объекта</t>
  </si>
  <si>
    <t>Фитнес-центр</t>
  </si>
  <si>
    <t>ID новостройки в Яндексе</t>
  </si>
  <si>
    <t>Супермаркет / минимаркет</t>
  </si>
  <si>
    <t>Офисные помещения (для склада)</t>
  </si>
  <si>
    <t>Назначение склада</t>
  </si>
  <si>
    <t>Ответственное хранение</t>
  </si>
  <si>
    <t>Тип парковки</t>
  </si>
  <si>
    <t>Цена палето-места</t>
  </si>
  <si>
    <t>Количество мест</t>
  </si>
  <si>
    <t>Грузовой лифт</t>
  </si>
  <si>
    <t>Стоимость парковки</t>
  </si>
  <si>
    <t>Подъезд фуры</t>
  </si>
  <si>
    <t>Валюта парковки</t>
  </si>
  <si>
    <t>Наличие пандуса</t>
  </si>
  <si>
    <t>Бесплатная стоянка</t>
  </si>
  <si>
    <t>Ж/д ветка</t>
  </si>
  <si>
    <t>Расположение стоянки</t>
  </si>
  <si>
    <t>Офис на складе</t>
  </si>
  <si>
    <t>Назначение стоянки</t>
  </si>
  <si>
    <t>Открытая площадка</t>
  </si>
  <si>
    <t>Стоимость въезда</t>
  </si>
  <si>
    <t>Наличие 3PL услуг</t>
  </si>
  <si>
    <t>Температурный режим</t>
  </si>
  <si>
    <t>Материал пола</t>
  </si>
  <si>
    <t>Сетка колонн</t>
  </si>
  <si>
    <t>Пропускная система (access-control-system)</t>
  </si>
  <si>
    <t>Тип ворот</t>
  </si>
  <si>
    <t>Тип крана</t>
  </si>
  <si>
    <t>Грузоподъёмность крана</t>
  </si>
  <si>
    <t>Количество кранов</t>
  </si>
  <si>
    <t>Ответственное хранение (3PL)</t>
  </si>
  <si>
    <t>Таможенный пост (СВХ)</t>
  </si>
  <si>
    <t>Транспортные услуги</t>
  </si>
  <si>
    <t>Витринные окна</t>
  </si>
  <si>
    <t>Тип торговой локации</t>
  </si>
  <si>
    <t>Интернет в зале</t>
  </si>
  <si>
    <t>Масштаб ТЦ</t>
  </si>
  <si>
    <t>Список арендаторов ТЦ</t>
  </si>
  <si>
    <t>Рабочие дни</t>
  </si>
  <si>
    <t>Часы работы — с</t>
  </si>
  <si>
    <t>Часы работы — до</t>
  </si>
  <si>
    <t>Тип графика</t>
  </si>
  <si>
    <t>Площадь участка (при объекте)</t>
  </si>
  <si>
    <t>Ед. измерения земли</t>
  </si>
  <si>
    <t>Право на землю</t>
  </si>
  <si>
    <t>Возможна смена категории</t>
  </si>
  <si>
    <t>Вид разрешённого использования</t>
  </si>
  <si>
    <t>Возможна смена ВРИ</t>
  </si>
  <si>
    <t>Обременения</t>
  </si>
  <si>
    <t>Подъездные пути</t>
  </si>
  <si>
    <t>Электричество на участке</t>
  </si>
  <si>
    <t>Газ на участке</t>
  </si>
  <si>
    <t>Водопровод на участке</t>
  </si>
  <si>
    <t>Канализация на участке</t>
  </si>
  <si>
    <t>Право на недвижимость</t>
  </si>
  <si>
    <t>Конструкция гаража</t>
  </si>
  <si>
    <t>Материал стен бокса</t>
  </si>
  <si>
    <t>Юридический статус</t>
  </si>
  <si>
    <t>Смотровая яма</t>
  </si>
  <si>
    <t>Погреб / подвал</t>
  </si>
  <si>
    <t>Автоматические ворота</t>
  </si>
  <si>
    <t>Въезд по пропускам</t>
  </si>
  <si>
    <t>Видеонаблюдение</t>
  </si>
  <si>
    <t>Круглосуточная охрана</t>
  </si>
  <si>
    <t>Планировка (URL)</t>
  </si>
  <si>
    <t>Главная обложка</t>
  </si>
  <si>
    <t>Видео-обзор</t>
  </si>
  <si>
    <t>3D-тур</t>
  </si>
  <si>
    <t>Слоты мультиобъявления</t>
  </si>
  <si>
    <t>Тип здания в котором находится</t>
  </si>
  <si>
    <t>Расстояние до МКАД (только для МСК)</t>
  </si>
  <si>
    <t>ПАМЯТКА: Работа с коммерческой недвижимостью</t>
  </si>
  <si>
    <t>Строки, которые не окрасились в серый и на площадке их нет — это то, что можно улучшить.
Запросите недостающую информацию.</t>
  </si>
  <si>
    <t>Шоссе (только для МСК)</t>
  </si>
  <si>
    <t xml:space="preserve">  3. ХАРАКТЕРИСТИКИ ПОМЕЩЕНИЯ И ЗДАНИЯ</t>
  </si>
  <si>
    <t xml:space="preserve">  4. СПЕЦИФИКА СКЛАДОВ И ПРОИЗВОДСТВ</t>
  </si>
  <si>
    <t xml:space="preserve">  1. РАСПОЛОЖЕНИЕ И ГЕО</t>
  </si>
  <si>
    <t xml:space="preserve">  2. ФИНАНСЫ И СДЕЛКА</t>
  </si>
  <si>
    <t xml:space="preserve">  3. ХАРАКТЕРИСТИКИ ПОМЕЩЕНИЯ</t>
  </si>
  <si>
    <t xml:space="preserve">  4. ХАРАКТЕРИСТИКИ ЗДАНИЯ</t>
  </si>
  <si>
    <t xml:space="preserve">  5. ИНФРАСТРУКТУРА ЗДАНИЯ</t>
  </si>
  <si>
    <t xml:space="preserve">  6. ПАРКОВКА</t>
  </si>
  <si>
    <t xml:space="preserve">  7. СКЛАДЫ И ПРОИЗВОДСТВА</t>
  </si>
  <si>
    <t xml:space="preserve">  8. РИТЕЙЛ / ПСН</t>
  </si>
  <si>
    <t xml:space="preserve">  9. ЗЕМЕЛЬНЫЕ УЧАСТКИ</t>
  </si>
  <si>
    <t xml:space="preserve">  10. ГОТОВЫЙ БИЗНЕС</t>
  </si>
  <si>
    <t xml:space="preserve">  11. ГАРАЖИ И МАШИНОМЕСТА</t>
  </si>
  <si>
    <t xml:space="preserve">  12. МЕДИА И 3D-ТУРЫ</t>
  </si>
  <si>
    <t xml:space="preserve">  2. РАСПОЛОЖЕНИЕ</t>
  </si>
  <si>
    <t xml:space="preserve">  3. МЕДИА И ВИДЕО</t>
  </si>
  <si>
    <t xml:space="preserve">  4. ХАРАКТЕРИСТИКИ ПОМЕЩЕНИЯ</t>
  </si>
  <si>
    <t xml:space="preserve">  5. ХАРАКТЕРИСТИКИ ЗДАНИЯ</t>
  </si>
  <si>
    <t xml:space="preserve">  7. КОМИССИИ И ГАБ</t>
  </si>
  <si>
    <t xml:space="preserve">  8. СПЕЦИФИКА КЛАДОВОЙ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</si>
</sst>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3"/>
      <color rgb="FF1A5276"/>
      <name val="Arial"/>
      <family val="2"/>
    </font>
    <font>
      <b/>
      <sz val="11"/>
      <color rgb="FF1A5276"/>
      <name val="Arial"/>
      <family val="2"/>
    </font>
    <font>
      <b/>
      <sz val="11"/>
      <name val="Arial"/>
      <family val="2"/>
    </font>
    <font>
      <i/>
      <sz val="9"/>
      <color rgb="FF5D6D7E"/>
      <name val="Arial"/>
      <family val="2"/>
    </font>
    <font>
      <b/>
      <sz val="10"/>
      <color rgb="FFFFFFFF"/>
      <name val="Arial"/>
      <family val="2"/>
    </font>
    <font>
      <sz val="9"/>
      <color rgb="FF5D6D7E"/>
      <name val="Arial"/>
      <family val="2"/>
    </font>
    <font>
      <sz val="10"/>
      <name val="Arial"/>
      <family val="2"/>
    </font>
    <font>
      <i/>
      <sz val="8"/>
      <color rgb="FF7F8C8D"/>
      <name val="Arial"/>
      <family val="2"/>
    </font>
    <font>
      <b/>
      <sz val="10"/>
      <name val="Arial"/>
      <family val="2"/>
    </font>
    <font>
      <sz val="14"/>
      <color theme="1"/>
      <name val="Calibri"/>
      <family val="2"/>
      <charset val="1"/>
    </font>
    <font>
      <b/>
      <sz val="13"/>
      <color rgb="FFFFFFFF"/>
      <name val="Arial"/>
      <family val="2"/>
    </font>
    <font>
      <i/>
      <sz val="8"/>
      <color rgb="FF7F8C8D"/>
      <name val="Arial"/>
      <family val="2"/>
    </font>
    <font>
      <b/>
      <sz val="16"/>
      <color rgb="FFFFFFFF"/>
      <name val="Arial"/>
      <family val="2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9"/>
      <color rgb="FF7D6608"/>
      <name val="Arial"/>
      <family val="2"/>
    </font>
    <font>
      <sz val="9"/>
      <color rgb="FF555555"/>
      <name val="Arial"/>
      <family val="2"/>
    </font>
    <font>
      <b/>
      <sz val="10"/>
      <name val="Arial"/>
      <family val="2"/>
    </font>
    <font>
      <i/>
      <sz val="9"/>
      <color rgb="FF7D6608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rgb="FFF7DC6F"/>
        <bgColor rgb="FFF4D03F"/>
      </patternFill>
    </fill>
    <fill>
      <patternFill patternType="solid">
        <fgColor rgb="FFFFF9C4"/>
        <bgColor rgb="FFFCF3CF"/>
      </patternFill>
    </fill>
    <fill>
      <patternFill patternType="solid">
        <fgColor rgb="FF1A5276"/>
        <bgColor rgb="FF333399"/>
      </patternFill>
    </fill>
    <fill>
      <patternFill patternType="solid">
        <fgColor rgb="FF2874A6"/>
        <bgColor rgb="FF008080"/>
      </patternFill>
    </fill>
    <fill>
      <patternFill patternType="solid">
        <fgColor rgb="FFD6EAF8"/>
        <bgColor rgb="FFD4E6F1"/>
      </patternFill>
    </fill>
    <fill>
      <patternFill patternType="solid">
        <fgColor rgb="FFFFFFFF"/>
        <bgColor rgb="FFECEFF1"/>
      </patternFill>
    </fill>
    <fill>
      <patternFill patternType="solid">
        <fgColor rgb="FF1E8449"/>
        <bgColor rgb="FF008080"/>
      </patternFill>
    </fill>
    <fill>
      <patternFill patternType="solid">
        <fgColor rgb="FFD5F5E3"/>
        <bgColor rgb="FFD6EAF8"/>
      </patternFill>
    </fill>
    <fill>
      <patternFill patternType="solid">
        <fgColor rgb="FFC0392B"/>
        <bgColor rgb="FF922B21"/>
      </patternFill>
    </fill>
    <fill>
      <patternFill patternType="solid">
        <fgColor rgb="FFFADBD8"/>
        <bgColor rgb="FFE8DAEF"/>
      </patternFill>
    </fill>
    <fill>
      <patternFill patternType="solid">
        <fgColor rgb="FF7D3C98"/>
        <bgColor rgb="FF333399"/>
      </patternFill>
    </fill>
    <fill>
      <patternFill patternType="solid">
        <fgColor rgb="FFE8DAEF"/>
        <bgColor rgb="FFFADBD8"/>
      </patternFill>
    </fill>
    <fill>
      <patternFill patternType="solid">
        <fgColor rgb="FFD4E6F1"/>
        <bgColor rgb="FFD6EAF8"/>
      </patternFill>
    </fill>
    <fill>
      <patternFill patternType="solid">
        <fgColor rgb="FF2874A6"/>
        <bgColor rgb="FF0066CC"/>
      </patternFill>
    </fill>
    <fill>
      <patternFill patternType="solid">
        <fgColor rgb="FF1A5276"/>
        <bgColor rgb="FF0E6655"/>
      </patternFill>
    </fill>
    <fill>
      <patternFill patternType="solid">
        <fgColor rgb="FF1E8449"/>
        <bgColor rgb="FF196F3D"/>
      </patternFill>
    </fill>
    <fill>
      <patternFill patternType="solid">
        <fgColor rgb="FFD5F5E3"/>
        <bgColor rgb="FFD4EFDF"/>
      </patternFill>
    </fill>
    <fill>
      <patternFill patternType="solid">
        <fgColor rgb="FF7D3C98"/>
        <bgColor rgb="FF6C3483"/>
      </patternFill>
    </fill>
    <fill>
      <patternFill patternType="solid">
        <fgColor rgb="FFE8DAEF"/>
        <bgColor rgb="FFE5E8E8"/>
      </patternFill>
    </fill>
    <fill>
      <patternFill patternType="solid">
        <fgColor rgb="FFD68910"/>
        <bgColor rgb="FFB7950B"/>
      </patternFill>
    </fill>
    <fill>
      <patternFill patternType="solid">
        <fgColor rgb="FFFDEBD0"/>
        <bgColor rgb="FFFCF3CF"/>
      </patternFill>
    </fill>
    <fill>
      <patternFill patternType="solid">
        <fgColor rgb="FF0E6655"/>
        <bgColor rgb="FF196F3D"/>
      </patternFill>
    </fill>
    <fill>
      <patternFill patternType="solid">
        <fgColor rgb="FF196F3D"/>
        <bgColor rgb="FF0E6655"/>
      </patternFill>
    </fill>
    <fill>
      <patternFill patternType="solid">
        <fgColor rgb="FFD4EFDF"/>
        <bgColor rgb="FFD5F5E3"/>
      </patternFill>
    </fill>
    <fill>
      <patternFill patternType="solid">
        <fgColor rgb="FF922B21"/>
        <bgColor rgb="FFC0392B"/>
      </patternFill>
    </fill>
    <fill>
      <patternFill patternType="solid">
        <fgColor rgb="FFF5B7B1"/>
        <bgColor rgb="FFFADBD8"/>
      </patternFill>
    </fill>
    <fill>
      <patternFill patternType="solid">
        <fgColor rgb="FF145A32"/>
        <bgColor rgb="FF0E6655"/>
      </patternFill>
    </fill>
    <fill>
      <patternFill patternType="solid">
        <fgColor rgb="FF6C3483"/>
        <bgColor rgb="FF7D3C98"/>
      </patternFill>
    </fill>
    <fill>
      <patternFill patternType="solid">
        <fgColor rgb="FF566573"/>
        <bgColor rgb="FF5D6D7E"/>
      </patternFill>
    </fill>
    <fill>
      <patternFill patternType="solid">
        <fgColor rgb="FFE5E8E8"/>
        <bgColor rgb="FFECEFF1"/>
      </patternFill>
    </fill>
    <fill>
      <patternFill patternType="solid">
        <fgColor rgb="FF00A878"/>
        <bgColor rgb="FF2874A6"/>
      </patternFill>
    </fill>
    <fill>
      <patternFill patternType="solid">
        <fgColor rgb="FF7D3C98"/>
        <bgColor rgb="FF566573"/>
      </patternFill>
    </fill>
    <fill>
      <patternFill patternType="solid">
        <fgColor rgb="FF0E6655"/>
        <bgColor rgb="FF1A5276"/>
      </patternFill>
    </fill>
    <fill>
      <patternFill patternType="solid">
        <fgColor rgb="FF1A5276"/>
      </patternFill>
    </fill>
    <fill>
      <patternFill patternType="solid">
        <fgColor rgb="FF2874A6"/>
      </patternFill>
    </fill>
    <fill>
      <patternFill patternType="solid">
        <fgColor rgb="FF1E8449"/>
      </patternFill>
    </fill>
    <fill>
      <patternFill patternType="solid">
        <fgColor rgb="FFF8F9F9"/>
      </patternFill>
    </fill>
    <fill>
      <patternFill patternType="solid">
        <fgColor rgb="FFF9E79F"/>
      </patternFill>
    </fill>
    <fill>
      <patternFill patternType="solid">
        <fgColor rgb="FF34495E"/>
      </patternFill>
    </fill>
    <fill>
      <patternFill patternType="solid">
        <fgColor rgb="FFFCE4D6"/>
      </patternFill>
    </fill>
    <fill>
      <patternFill patternType="solid">
        <fgColor rgb="FFD5F5E3"/>
      </patternFill>
    </fill>
    <fill>
      <patternFill patternType="solid">
        <fgColor rgb="FFD6EAF8"/>
      </patternFill>
    </fill>
    <fill>
      <patternFill patternType="solid">
        <fgColor rgb="FFFFFFFF"/>
      </patternFill>
    </fill>
    <fill>
      <patternFill patternType="solid">
        <fgColor rgb="FFFBDBD9"/>
        <bgColor rgb="FFE8DAEF"/>
      </patternFill>
    </fill>
  </fills>
  <borders count="20">
    <border>
      <left/>
      <right/>
      <top/>
      <bottom/>
      <diagonal/>
    </border>
    <border>
      <left style="medium">
        <color rgb="FFF39C12"/>
      </left>
      <right style="medium">
        <color rgb="FFF39C12"/>
      </right>
      <top style="medium">
        <color rgb="FFF39C12"/>
      </top>
      <bottom style="medium">
        <color rgb="FFF39C12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medium">
        <color rgb="FFF4D03F"/>
      </left>
      <right style="medium">
        <color rgb="FFF4D03F"/>
      </right>
      <top style="medium">
        <color rgb="FFF4D03F"/>
      </top>
      <bottom style="medium">
        <color rgb="FFF4D03F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0B0B0"/>
      </left>
      <right/>
      <top/>
      <bottom/>
      <diagonal/>
    </border>
    <border>
      <left/>
      <right style="thin">
        <color rgb="FFB0B0B0"/>
      </right>
      <top/>
      <bottom/>
      <diagonal/>
    </border>
    <border>
      <left style="thin">
        <color rgb="FFB0B0B0"/>
      </left>
      <right/>
      <top style="thin">
        <color rgb="FFB0B0B0"/>
      </top>
      <bottom/>
      <diagonal/>
    </border>
    <border>
      <left/>
      <right/>
      <top style="thin">
        <color rgb="FFB0B0B0"/>
      </top>
      <bottom/>
      <diagonal/>
    </border>
    <border>
      <left/>
      <right style="thin">
        <color rgb="FFB0B0B0"/>
      </right>
      <top style="thin">
        <color rgb="FFB0B0B0"/>
      </top>
      <bottom/>
      <diagonal/>
    </border>
  </borders>
  <cellStyleXfs count="1">
    <xf numFmtId="0" fontId="0" fillId="0" borderId="0"/>
  </cellStyleXfs>
  <cellXfs count="149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left" vertical="center" wrapText="1"/>
    </xf>
    <xf numFmtId="0" fontId="0" fillId="7" borderId="3" xfId="0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left" vertical="center" wrapText="1"/>
    </xf>
    <xf numFmtId="0" fontId="10" fillId="9" borderId="2" xfId="0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center" vertical="center" wrapText="1"/>
    </xf>
    <xf numFmtId="0" fontId="10" fillId="11" borderId="2" xfId="0" applyFont="1" applyFill="1" applyBorder="1" applyAlignment="1">
      <alignment horizontal="center" vertical="center" wrapText="1"/>
    </xf>
    <xf numFmtId="0" fontId="7" fillId="13" borderId="2" xfId="0" applyFont="1" applyFill="1" applyBorder="1" applyAlignment="1">
      <alignment horizontal="center" vertical="center" wrapText="1"/>
    </xf>
    <xf numFmtId="0" fontId="8" fillId="13" borderId="2" xfId="0" applyFont="1" applyFill="1" applyBorder="1" applyAlignment="1">
      <alignment horizontal="left" vertical="center" wrapText="1"/>
    </xf>
    <xf numFmtId="0" fontId="10" fillId="13" borderId="2" xfId="0" applyFont="1" applyFill="1" applyBorder="1" applyAlignment="1">
      <alignment horizontal="center" vertical="center" wrapText="1"/>
    </xf>
    <xf numFmtId="0" fontId="7" fillId="14" borderId="2" xfId="0" applyFont="1" applyFill="1" applyBorder="1" applyAlignment="1">
      <alignment horizontal="center" vertical="center" wrapText="1"/>
    </xf>
    <xf numFmtId="0" fontId="8" fillId="14" borderId="2" xfId="0" applyFont="1" applyFill="1" applyBorder="1" applyAlignment="1">
      <alignment horizontal="left" vertical="center" wrapText="1"/>
    </xf>
    <xf numFmtId="0" fontId="10" fillId="14" borderId="2" xfId="0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6" fillId="16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left" vertical="center" wrapText="1"/>
    </xf>
    <xf numFmtId="0" fontId="7" fillId="18" borderId="2" xfId="0" applyFont="1" applyFill="1" applyBorder="1" applyAlignment="1">
      <alignment horizontal="center" vertical="center" wrapText="1"/>
    </xf>
    <xf numFmtId="0" fontId="1" fillId="18" borderId="2" xfId="0" applyFont="1" applyFill="1" applyBorder="1" applyAlignment="1">
      <alignment horizontal="left" vertical="center" wrapText="1"/>
    </xf>
    <xf numFmtId="0" fontId="10" fillId="18" borderId="2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left" vertical="center" wrapText="1"/>
    </xf>
    <xf numFmtId="0" fontId="7" fillId="20" borderId="2" xfId="0" applyFont="1" applyFill="1" applyBorder="1" applyAlignment="1">
      <alignment horizontal="center" vertical="center" wrapText="1"/>
    </xf>
    <xf numFmtId="0" fontId="1" fillId="20" borderId="2" xfId="0" applyFont="1" applyFill="1" applyBorder="1" applyAlignment="1">
      <alignment horizontal="left" vertical="center" wrapText="1"/>
    </xf>
    <xf numFmtId="0" fontId="10" fillId="20" borderId="2" xfId="0" applyFont="1" applyFill="1" applyBorder="1" applyAlignment="1">
      <alignment horizontal="center" vertical="center" wrapText="1"/>
    </xf>
    <xf numFmtId="0" fontId="1" fillId="14" borderId="2" xfId="0" applyFont="1" applyFill="1" applyBorder="1" applyAlignment="1">
      <alignment horizontal="left" vertical="center" wrapText="1"/>
    </xf>
    <xf numFmtId="0" fontId="7" fillId="22" borderId="2" xfId="0" applyFont="1" applyFill="1" applyBorder="1" applyAlignment="1">
      <alignment horizontal="center" vertical="center" wrapText="1"/>
    </xf>
    <xf numFmtId="0" fontId="1" fillId="22" borderId="2" xfId="0" applyFont="1" applyFill="1" applyBorder="1" applyAlignment="1">
      <alignment horizontal="left" vertical="center" wrapText="1"/>
    </xf>
    <xf numFmtId="0" fontId="10" fillId="22" borderId="2" xfId="0" applyFont="1" applyFill="1" applyBorder="1" applyAlignment="1">
      <alignment horizontal="center" vertical="center" wrapText="1"/>
    </xf>
    <xf numFmtId="0" fontId="7" fillId="25" borderId="2" xfId="0" applyFont="1" applyFill="1" applyBorder="1" applyAlignment="1">
      <alignment horizontal="center" vertical="center" wrapText="1"/>
    </xf>
    <xf numFmtId="0" fontId="1" fillId="25" borderId="2" xfId="0" applyFont="1" applyFill="1" applyBorder="1" applyAlignment="1">
      <alignment horizontal="left" vertical="center" wrapText="1"/>
    </xf>
    <xf numFmtId="0" fontId="10" fillId="25" borderId="2" xfId="0" applyFont="1" applyFill="1" applyBorder="1" applyAlignment="1">
      <alignment horizontal="center" vertical="center" wrapText="1"/>
    </xf>
    <xf numFmtId="0" fontId="7" fillId="27" borderId="2" xfId="0" applyFont="1" applyFill="1" applyBorder="1" applyAlignment="1">
      <alignment horizontal="center" vertical="center" wrapText="1"/>
    </xf>
    <xf numFmtId="0" fontId="1" fillId="27" borderId="2" xfId="0" applyFont="1" applyFill="1" applyBorder="1" applyAlignment="1">
      <alignment horizontal="left" vertical="center" wrapText="1"/>
    </xf>
    <xf numFmtId="0" fontId="10" fillId="27" borderId="2" xfId="0" applyFont="1" applyFill="1" applyBorder="1" applyAlignment="1">
      <alignment horizontal="center" vertical="center" wrapText="1"/>
    </xf>
    <xf numFmtId="0" fontId="7" fillId="31" borderId="2" xfId="0" applyFont="1" applyFill="1" applyBorder="1" applyAlignment="1">
      <alignment horizontal="center" vertical="center" wrapText="1"/>
    </xf>
    <xf numFmtId="0" fontId="1" fillId="31" borderId="2" xfId="0" applyFont="1" applyFill="1" applyBorder="1" applyAlignment="1">
      <alignment horizontal="left" vertical="center" wrapText="1"/>
    </xf>
    <xf numFmtId="0" fontId="10" fillId="31" borderId="2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left" vertical="center" wrapText="1"/>
    </xf>
    <xf numFmtId="0" fontId="9" fillId="0" borderId="0" xfId="0" applyFont="1"/>
    <xf numFmtId="0" fontId="13" fillId="0" borderId="0" xfId="0" applyFont="1" applyAlignment="1">
      <alignment vertical="center" wrapText="1"/>
    </xf>
    <xf numFmtId="0" fontId="17" fillId="38" borderId="6" xfId="0" applyFont="1" applyFill="1" applyBorder="1" applyAlignment="1">
      <alignment horizontal="left" vertical="center" wrapText="1"/>
    </xf>
    <xf numFmtId="0" fontId="16" fillId="40" borderId="6" xfId="0" applyFont="1" applyFill="1" applyBorder="1" applyAlignment="1">
      <alignment horizontal="center" vertical="center" wrapText="1"/>
    </xf>
    <xf numFmtId="0" fontId="20" fillId="38" borderId="6" xfId="0" applyFont="1" applyFill="1" applyBorder="1" applyAlignment="1">
      <alignment horizontal="left" vertical="center" wrapText="1"/>
    </xf>
    <xf numFmtId="0" fontId="17" fillId="41" borderId="6" xfId="0" applyFont="1" applyFill="1" applyBorder="1" applyAlignment="1">
      <alignment horizontal="center" vertical="center" wrapText="1"/>
    </xf>
    <xf numFmtId="0" fontId="17" fillId="42" borderId="6" xfId="0" applyFont="1" applyFill="1" applyBorder="1" applyAlignment="1">
      <alignment horizontal="center" vertical="center" wrapText="1"/>
    </xf>
    <xf numFmtId="0" fontId="17" fillId="43" borderId="6" xfId="0" applyFont="1" applyFill="1" applyBorder="1" applyAlignment="1">
      <alignment horizontal="center" vertical="center" wrapText="1"/>
    </xf>
    <xf numFmtId="0" fontId="20" fillId="44" borderId="6" xfId="0" applyFont="1" applyFill="1" applyBorder="1" applyAlignment="1">
      <alignment horizontal="left" vertical="center" wrapText="1"/>
    </xf>
    <xf numFmtId="0" fontId="17" fillId="44" borderId="6" xfId="0" applyFont="1" applyFill="1" applyBorder="1" applyAlignment="1">
      <alignment horizontal="left" vertical="center" wrapText="1"/>
    </xf>
    <xf numFmtId="0" fontId="17" fillId="44" borderId="6" xfId="0" applyFont="1" applyFill="1" applyBorder="1" applyAlignment="1">
      <alignment horizontal="center" vertical="center" wrapText="1"/>
    </xf>
    <xf numFmtId="0" fontId="17" fillId="38" borderId="6" xfId="0" applyFont="1" applyFill="1" applyBorder="1" applyAlignment="1">
      <alignment horizontal="center" vertical="center" wrapText="1"/>
    </xf>
    <xf numFmtId="0" fontId="1" fillId="45" borderId="2" xfId="0" applyFont="1" applyFill="1" applyBorder="1" applyAlignment="1">
      <alignment horizontal="left" vertical="center" wrapText="1"/>
    </xf>
    <xf numFmtId="0" fontId="21" fillId="39" borderId="0" xfId="0" applyFont="1" applyFill="1" applyAlignment="1">
      <alignment horizontal="left" vertical="center" wrapText="1"/>
    </xf>
    <xf numFmtId="0" fontId="0" fillId="0" borderId="0" xfId="0"/>
    <xf numFmtId="0" fontId="17" fillId="38" borderId="6" xfId="0" applyFont="1" applyFill="1" applyBorder="1" applyAlignment="1">
      <alignment horizontal="left" vertical="center" wrapText="1"/>
    </xf>
    <xf numFmtId="0" fontId="0" fillId="0" borderId="7" xfId="0" applyBorder="1"/>
    <xf numFmtId="0" fontId="0" fillId="0" borderId="8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5" fillId="36" borderId="0" xfId="0" applyFont="1" applyFill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0" fillId="0" borderId="9" xfId="0" applyBorder="1"/>
    <xf numFmtId="0" fontId="0" fillId="0" borderId="10" xfId="0" applyBorder="1"/>
    <xf numFmtId="0" fontId="18" fillId="39" borderId="6" xfId="0" applyFont="1" applyFill="1" applyBorder="1" applyAlignment="1">
      <alignment horizontal="left" vertical="center" wrapText="1"/>
    </xf>
    <xf numFmtId="0" fontId="17" fillId="44" borderId="6" xfId="0" applyFont="1" applyFill="1" applyBorder="1" applyAlignment="1">
      <alignment horizontal="left" vertical="center" wrapText="1"/>
    </xf>
    <xf numFmtId="0" fontId="16" fillId="37" borderId="6" xfId="0" applyFont="1" applyFill="1" applyBorder="1" applyAlignment="1">
      <alignment horizontal="center" vertical="center" wrapText="1"/>
    </xf>
    <xf numFmtId="0" fontId="0" fillId="0" borderId="11" xfId="0" applyBorder="1"/>
    <xf numFmtId="0" fontId="14" fillId="35" borderId="0" xfId="0" applyFont="1" applyFill="1" applyAlignment="1">
      <alignment horizontal="center" vertical="center" wrapText="1"/>
    </xf>
    <xf numFmtId="0" fontId="16" fillId="40" borderId="6" xfId="0" applyFont="1" applyFill="1" applyBorder="1" applyAlignment="1">
      <alignment horizontal="center" vertical="center" wrapText="1"/>
    </xf>
    <xf numFmtId="0" fontId="1" fillId="38" borderId="6" xfId="0" applyFont="1" applyFill="1" applyBorder="1" applyAlignment="1">
      <alignment horizontal="left" vertical="center" wrapText="1"/>
    </xf>
    <xf numFmtId="0" fontId="0" fillId="0" borderId="4" xfId="0" applyBorder="1"/>
    <xf numFmtId="0" fontId="0" fillId="0" borderId="5" xfId="0" applyBorder="1"/>
    <xf numFmtId="0" fontId="5" fillId="0" borderId="0" xfId="0" applyFont="1"/>
    <xf numFmtId="0" fontId="6" fillId="32" borderId="2" xfId="0" applyFont="1" applyFill="1" applyBorder="1" applyAlignment="1">
      <alignment horizontal="left" vertical="center"/>
    </xf>
    <xf numFmtId="0" fontId="12" fillId="32" borderId="0" xfId="0" applyFont="1" applyFill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6" fillId="5" borderId="2" xfId="0" applyFont="1" applyFill="1" applyBorder="1" applyAlignment="1">
      <alignment horizontal="left" vertical="center"/>
    </xf>
    <xf numFmtId="0" fontId="12" fillId="15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6" fillId="4" borderId="15" xfId="0" applyFont="1" applyFill="1" applyBorder="1" applyAlignment="1">
      <alignment horizontal="left" vertical="center"/>
    </xf>
    <xf numFmtId="0" fontId="6" fillId="4" borderId="0" xfId="0" applyFont="1" applyFill="1" applyBorder="1" applyAlignment="1">
      <alignment horizontal="left" vertical="center"/>
    </xf>
    <xf numFmtId="0" fontId="6" fillId="4" borderId="16" xfId="0" applyFont="1" applyFill="1" applyBorder="1" applyAlignment="1">
      <alignment horizontal="left" vertical="center"/>
    </xf>
    <xf numFmtId="0" fontId="6" fillId="12" borderId="15" xfId="0" applyFont="1" applyFill="1" applyBorder="1" applyAlignment="1">
      <alignment horizontal="left" vertical="center"/>
    </xf>
    <xf numFmtId="0" fontId="6" fillId="12" borderId="0" xfId="0" applyFont="1" applyFill="1" applyBorder="1" applyAlignment="1">
      <alignment horizontal="left" vertical="center"/>
    </xf>
    <xf numFmtId="0" fontId="6" fillId="12" borderId="16" xfId="0" applyFont="1" applyFill="1" applyBorder="1" applyAlignment="1">
      <alignment horizontal="left" vertical="center"/>
    </xf>
    <xf numFmtId="0" fontId="6" fillId="8" borderId="15" xfId="0" applyFont="1" applyFill="1" applyBorder="1" applyAlignment="1">
      <alignment horizontal="left" vertical="center"/>
    </xf>
    <xf numFmtId="0" fontId="6" fillId="8" borderId="0" xfId="0" applyFont="1" applyFill="1" applyBorder="1" applyAlignment="1">
      <alignment horizontal="left" vertical="center"/>
    </xf>
    <xf numFmtId="0" fontId="6" fillId="8" borderId="16" xfId="0" applyFont="1" applyFill="1" applyBorder="1" applyAlignment="1">
      <alignment horizontal="left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6" fillId="17" borderId="17" xfId="0" applyFont="1" applyFill="1" applyBorder="1" applyAlignment="1">
      <alignment vertical="center"/>
    </xf>
    <xf numFmtId="0" fontId="6" fillId="17" borderId="18" xfId="0" applyFont="1" applyFill="1" applyBorder="1" applyAlignment="1">
      <alignment vertical="center"/>
    </xf>
    <xf numFmtId="0" fontId="6" fillId="17" borderId="19" xfId="0" applyFont="1" applyFill="1" applyBorder="1" applyAlignment="1">
      <alignment vertical="center"/>
    </xf>
    <xf numFmtId="0" fontId="6" fillId="10" borderId="15" xfId="0" applyFont="1" applyFill="1" applyBorder="1" applyAlignment="1">
      <alignment vertical="center"/>
    </xf>
    <xf numFmtId="0" fontId="6" fillId="10" borderId="0" xfId="0" applyFont="1" applyFill="1" applyBorder="1" applyAlignment="1">
      <alignment vertical="center"/>
    </xf>
    <xf numFmtId="0" fontId="6" fillId="10" borderId="16" xfId="0" applyFont="1" applyFill="1" applyBorder="1" applyAlignment="1">
      <alignment vertical="center"/>
    </xf>
    <xf numFmtId="0" fontId="6" fillId="19" borderId="15" xfId="0" applyFont="1" applyFill="1" applyBorder="1" applyAlignment="1">
      <alignment vertical="center"/>
    </xf>
    <xf numFmtId="0" fontId="6" fillId="19" borderId="0" xfId="0" applyFont="1" applyFill="1" applyBorder="1" applyAlignment="1">
      <alignment vertical="center"/>
    </xf>
    <xf numFmtId="0" fontId="6" fillId="19" borderId="16" xfId="0" applyFont="1" applyFill="1" applyBorder="1" applyAlignment="1">
      <alignment vertical="center"/>
    </xf>
    <xf numFmtId="0" fontId="6" fillId="16" borderId="15" xfId="0" applyFont="1" applyFill="1" applyBorder="1" applyAlignment="1">
      <alignment vertical="center"/>
    </xf>
    <xf numFmtId="0" fontId="6" fillId="16" borderId="0" xfId="0" applyFont="1" applyFill="1" applyBorder="1" applyAlignment="1">
      <alignment vertical="center"/>
    </xf>
    <xf numFmtId="0" fontId="6" fillId="16" borderId="16" xfId="0" applyFont="1" applyFill="1" applyBorder="1" applyAlignment="1">
      <alignment vertical="center"/>
    </xf>
    <xf numFmtId="0" fontId="6" fillId="21" borderId="15" xfId="0" applyFont="1" applyFill="1" applyBorder="1" applyAlignment="1">
      <alignment vertical="center"/>
    </xf>
    <xf numFmtId="0" fontId="6" fillId="21" borderId="0" xfId="0" applyFont="1" applyFill="1" applyBorder="1" applyAlignment="1">
      <alignment vertical="center"/>
    </xf>
    <xf numFmtId="0" fontId="6" fillId="21" borderId="16" xfId="0" applyFont="1" applyFill="1" applyBorder="1" applyAlignment="1">
      <alignment vertical="center"/>
    </xf>
    <xf numFmtId="0" fontId="6" fillId="23" borderId="15" xfId="0" applyFont="1" applyFill="1" applyBorder="1" applyAlignment="1">
      <alignment vertical="center"/>
    </xf>
    <xf numFmtId="0" fontId="6" fillId="23" borderId="0" xfId="0" applyFont="1" applyFill="1" applyBorder="1" applyAlignment="1">
      <alignment vertical="center"/>
    </xf>
    <xf numFmtId="0" fontId="6" fillId="23" borderId="16" xfId="0" applyFont="1" applyFill="1" applyBorder="1" applyAlignment="1">
      <alignment vertical="center"/>
    </xf>
    <xf numFmtId="0" fontId="6" fillId="24" borderId="15" xfId="0" applyFont="1" applyFill="1" applyBorder="1" applyAlignment="1">
      <alignment vertical="center"/>
    </xf>
    <xf numFmtId="0" fontId="6" fillId="24" borderId="0" xfId="0" applyFont="1" applyFill="1" applyBorder="1" applyAlignment="1">
      <alignment vertical="center"/>
    </xf>
    <xf numFmtId="0" fontId="6" fillId="24" borderId="16" xfId="0" applyFont="1" applyFill="1" applyBorder="1" applyAlignment="1">
      <alignment vertical="center"/>
    </xf>
    <xf numFmtId="0" fontId="6" fillId="26" borderId="15" xfId="0" applyFont="1" applyFill="1" applyBorder="1" applyAlignment="1">
      <alignment vertical="center"/>
    </xf>
    <xf numFmtId="0" fontId="6" fillId="26" borderId="0" xfId="0" applyFont="1" applyFill="1" applyBorder="1" applyAlignment="1">
      <alignment vertical="center"/>
    </xf>
    <xf numFmtId="0" fontId="6" fillId="26" borderId="16" xfId="0" applyFont="1" applyFill="1" applyBorder="1" applyAlignment="1">
      <alignment vertical="center"/>
    </xf>
    <xf numFmtId="0" fontId="6" fillId="28" borderId="15" xfId="0" applyFont="1" applyFill="1" applyBorder="1" applyAlignment="1">
      <alignment vertical="center"/>
    </xf>
    <xf numFmtId="0" fontId="6" fillId="28" borderId="0" xfId="0" applyFont="1" applyFill="1" applyBorder="1" applyAlignment="1">
      <alignment vertical="center"/>
    </xf>
    <xf numFmtId="0" fontId="6" fillId="28" borderId="16" xfId="0" applyFont="1" applyFill="1" applyBorder="1" applyAlignment="1">
      <alignment vertical="center"/>
    </xf>
    <xf numFmtId="0" fontId="6" fillId="29" borderId="15" xfId="0" applyFont="1" applyFill="1" applyBorder="1" applyAlignment="1">
      <alignment vertical="center"/>
    </xf>
    <xf numFmtId="0" fontId="6" fillId="29" borderId="0" xfId="0" applyFont="1" applyFill="1" applyBorder="1" applyAlignment="1">
      <alignment vertical="center"/>
    </xf>
    <xf numFmtId="0" fontId="6" fillId="29" borderId="16" xfId="0" applyFont="1" applyFill="1" applyBorder="1" applyAlignment="1">
      <alignment vertical="center"/>
    </xf>
    <xf numFmtId="0" fontId="6" fillId="30" borderId="15" xfId="0" applyFont="1" applyFill="1" applyBorder="1" applyAlignment="1">
      <alignment vertical="center"/>
    </xf>
    <xf numFmtId="0" fontId="6" fillId="30" borderId="0" xfId="0" applyFont="1" applyFill="1" applyBorder="1" applyAlignment="1">
      <alignment vertical="center"/>
    </xf>
    <xf numFmtId="0" fontId="6" fillId="30" borderId="16" xfId="0" applyFont="1" applyFill="1" applyBorder="1" applyAlignment="1">
      <alignment vertical="center"/>
    </xf>
    <xf numFmtId="0" fontId="6" fillId="16" borderId="2" xfId="0" applyFont="1" applyFill="1" applyBorder="1" applyAlignment="1">
      <alignment vertical="center"/>
    </xf>
    <xf numFmtId="0" fontId="6" fillId="30" borderId="15" xfId="0" applyFont="1" applyFill="1" applyBorder="1" applyAlignment="1">
      <alignment horizontal="left" vertical="center"/>
    </xf>
    <xf numFmtId="0" fontId="6" fillId="30" borderId="0" xfId="0" applyFont="1" applyFill="1" applyBorder="1" applyAlignment="1">
      <alignment horizontal="left" vertical="center"/>
    </xf>
    <xf numFmtId="0" fontId="6" fillId="30" borderId="16" xfId="0" applyFont="1" applyFill="1" applyBorder="1" applyAlignment="1">
      <alignment horizontal="left" vertical="center"/>
    </xf>
    <xf numFmtId="0" fontId="6" fillId="15" borderId="15" xfId="0" applyFont="1" applyFill="1" applyBorder="1" applyAlignment="1">
      <alignment horizontal="left" vertical="center"/>
    </xf>
    <xf numFmtId="0" fontId="6" fillId="15" borderId="0" xfId="0" applyFont="1" applyFill="1" applyBorder="1" applyAlignment="1">
      <alignment horizontal="left" vertical="center"/>
    </xf>
    <xf numFmtId="0" fontId="6" fillId="15" borderId="16" xfId="0" applyFont="1" applyFill="1" applyBorder="1" applyAlignment="1">
      <alignment horizontal="left" vertical="center"/>
    </xf>
    <xf numFmtId="0" fontId="6" fillId="33" borderId="15" xfId="0" applyFont="1" applyFill="1" applyBorder="1" applyAlignment="1">
      <alignment horizontal="left" vertical="center"/>
    </xf>
    <xf numFmtId="0" fontId="6" fillId="33" borderId="0" xfId="0" applyFont="1" applyFill="1" applyBorder="1" applyAlignment="1">
      <alignment horizontal="left" vertical="center"/>
    </xf>
    <xf numFmtId="0" fontId="6" fillId="33" borderId="16" xfId="0" applyFont="1" applyFill="1" applyBorder="1" applyAlignment="1">
      <alignment horizontal="left" vertical="center"/>
    </xf>
    <xf numFmtId="0" fontId="6" fillId="10" borderId="15" xfId="0" applyFont="1" applyFill="1" applyBorder="1" applyAlignment="1">
      <alignment horizontal="left" vertical="center"/>
    </xf>
    <xf numFmtId="0" fontId="6" fillId="10" borderId="0" xfId="0" applyFont="1" applyFill="1" applyBorder="1" applyAlignment="1">
      <alignment horizontal="left" vertical="center"/>
    </xf>
    <xf numFmtId="0" fontId="6" fillId="10" borderId="16" xfId="0" applyFont="1" applyFill="1" applyBorder="1" applyAlignment="1">
      <alignment horizontal="left" vertical="center"/>
    </xf>
    <xf numFmtId="0" fontId="6" fillId="16" borderId="15" xfId="0" applyFont="1" applyFill="1" applyBorder="1" applyAlignment="1">
      <alignment horizontal="left" vertical="center"/>
    </xf>
    <xf numFmtId="0" fontId="6" fillId="16" borderId="0" xfId="0" applyFont="1" applyFill="1" applyBorder="1" applyAlignment="1">
      <alignment horizontal="left" vertical="center"/>
    </xf>
    <xf numFmtId="0" fontId="6" fillId="16" borderId="16" xfId="0" applyFont="1" applyFill="1" applyBorder="1" applyAlignment="1">
      <alignment horizontal="left" vertical="center"/>
    </xf>
    <xf numFmtId="0" fontId="6" fillId="21" borderId="15" xfId="0" applyFont="1" applyFill="1" applyBorder="1" applyAlignment="1">
      <alignment horizontal="left" vertical="center"/>
    </xf>
    <xf numFmtId="0" fontId="6" fillId="21" borderId="0" xfId="0" applyFont="1" applyFill="1" applyBorder="1" applyAlignment="1">
      <alignment horizontal="left" vertical="center"/>
    </xf>
    <xf numFmtId="0" fontId="6" fillId="21" borderId="16" xfId="0" applyFont="1" applyFill="1" applyBorder="1" applyAlignment="1">
      <alignment horizontal="left" vertical="center"/>
    </xf>
    <xf numFmtId="0" fontId="6" fillId="34" borderId="15" xfId="0" applyFont="1" applyFill="1" applyBorder="1" applyAlignment="1">
      <alignment horizontal="left" vertical="center"/>
    </xf>
    <xf numFmtId="0" fontId="6" fillId="34" borderId="0" xfId="0" applyFont="1" applyFill="1" applyBorder="1" applyAlignment="1">
      <alignment horizontal="left" vertical="center"/>
    </xf>
    <xf numFmtId="0" fontId="6" fillId="34" borderId="16" xfId="0" applyFont="1" applyFill="1" applyBorder="1" applyAlignment="1">
      <alignment horizontal="left" vertical="center"/>
    </xf>
  </cellXfs>
  <cellStyles count="1">
    <cellStyle name="Обычный" xfId="0" builtinId="0"/>
  </cellStyles>
  <dxfs count="5">
    <dxf>
      <font>
        <color rgb="FFB8B8B8"/>
      </font>
    </dxf>
    <dxf>
      <font>
        <color rgb="FFB8B8B8"/>
      </font>
    </dxf>
    <dxf>
      <fill>
        <patternFill>
          <bgColor rgb="FFECEFF1"/>
        </patternFill>
      </fill>
    </dxf>
    <dxf>
      <fill>
        <patternFill>
          <bgColor rgb="FFC8E6C9"/>
        </patternFill>
      </fill>
    </dxf>
    <dxf>
      <font>
        <color rgb="FFB8B8B8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950B"/>
      <rgbColor rgb="FF800080"/>
      <rgbColor rgb="FF2874A6"/>
      <rgbColor rgb="FFB0B0B0"/>
      <rgbColor rgb="FF7F8C8D"/>
      <rgbColor rgb="FF9999FF"/>
      <rgbColor rgb="FF7D3C98"/>
      <rgbColor rgb="FFFFF9C4"/>
      <rgbColor rgb="FFD6EAF8"/>
      <rgbColor rgb="FF660066"/>
      <rgbColor rgb="FFFF8080"/>
      <rgbColor rgb="FF0066CC"/>
      <rgbColor rgb="FFE8DA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4E6F1"/>
      <rgbColor rgb="FFD5F5E3"/>
      <rgbColor rgb="FFFCF3CF"/>
      <rgbColor rgb="FFC8E6C9"/>
      <rgbColor rgb="FFFADBD8"/>
      <rgbColor rgb="FFECEFF1"/>
      <rgbColor rgb="FFF7DC6F"/>
      <rgbColor rgb="FF3366FF"/>
      <rgbColor rgb="FF33CCCC"/>
      <rgbColor rgb="FF99CC00"/>
      <rgbColor rgb="FFF4D03F"/>
      <rgbColor rgb="FFF39C12"/>
      <rgbColor rgb="FFFF6600"/>
      <rgbColor rgb="FF5D6D7E"/>
      <rgbColor rgb="FF969696"/>
      <rgbColor rgb="FF1A5276"/>
      <rgbColor rgb="FF1E8449"/>
      <rgbColor rgb="FF003300"/>
      <rgbColor rgb="FF333300"/>
      <rgbColor rgb="FF922B21"/>
      <rgbColor rgb="FFC0392B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BDBD9"/>
      <color rgb="FFD5F5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50"/>
  <sheetViews>
    <sheetView workbookViewId="0">
      <pane xSplit="1" ySplit="3" topLeftCell="B4" activePane="bottomRight" state="frozen"/>
      <selection pane="topRight"/>
      <selection pane="bottomLeft"/>
      <selection pane="bottomRight" activeCell="C66" sqref="C66"/>
    </sheetView>
  </sheetViews>
  <sheetFormatPr baseColWidth="10" defaultColWidth="8.83203125" defaultRowHeight="15" x14ac:dyDescent="0.2"/>
  <cols>
    <col min="1" max="1" width="3" customWidth="1"/>
    <col min="2" max="2" width="28" customWidth="1"/>
    <col min="3" max="3" width="55" customWidth="1"/>
    <col min="4" max="6" width="22" customWidth="1"/>
    <col min="7" max="7" width="3" customWidth="1"/>
  </cols>
  <sheetData>
    <row r="2" spans="2:6" ht="28" customHeight="1" x14ac:dyDescent="0.2">
      <c r="B2" s="71" t="s">
        <v>281</v>
      </c>
      <c r="C2" s="56"/>
      <c r="D2" s="56"/>
      <c r="E2" s="56"/>
      <c r="F2" s="56"/>
    </row>
    <row r="4" spans="2:6" ht="22" customHeight="1" x14ac:dyDescent="0.2">
      <c r="B4" s="63" t="s">
        <v>0</v>
      </c>
      <c r="C4" s="56"/>
      <c r="D4" s="56"/>
      <c r="E4" s="56"/>
      <c r="F4" s="56"/>
    </row>
    <row r="5" spans="2:6" ht="18" customHeight="1" x14ac:dyDescent="0.2">
      <c r="B5" s="69" t="s">
        <v>1</v>
      </c>
      <c r="C5" s="57" t="s">
        <v>2</v>
      </c>
      <c r="D5" s="58"/>
      <c r="E5" s="58"/>
      <c r="F5" s="59"/>
    </row>
    <row r="6" spans="2:6" ht="32" customHeight="1" x14ac:dyDescent="0.2">
      <c r="B6" s="70"/>
      <c r="C6" s="60"/>
      <c r="D6" s="61"/>
      <c r="E6" s="61"/>
      <c r="F6" s="62"/>
    </row>
    <row r="7" spans="2:6" ht="18" customHeight="1" x14ac:dyDescent="0.2">
      <c r="B7" s="69" t="s">
        <v>3</v>
      </c>
      <c r="C7" s="57" t="s">
        <v>4</v>
      </c>
      <c r="D7" s="58"/>
      <c r="E7" s="58"/>
      <c r="F7" s="59"/>
    </row>
    <row r="8" spans="2:6" ht="32" customHeight="1" x14ac:dyDescent="0.2">
      <c r="B8" s="70"/>
      <c r="C8" s="60"/>
      <c r="D8" s="61"/>
      <c r="E8" s="61"/>
      <c r="F8" s="62"/>
    </row>
    <row r="9" spans="2:6" ht="18" customHeight="1" x14ac:dyDescent="0.2">
      <c r="B9" s="69" t="s">
        <v>5</v>
      </c>
      <c r="C9" s="73" t="s">
        <v>282</v>
      </c>
      <c r="D9" s="58"/>
      <c r="E9" s="58"/>
      <c r="F9" s="59"/>
    </row>
    <row r="10" spans="2:6" ht="32" customHeight="1" x14ac:dyDescent="0.2">
      <c r="B10" s="70"/>
      <c r="C10" s="60"/>
      <c r="D10" s="61"/>
      <c r="E10" s="61"/>
      <c r="F10" s="62"/>
    </row>
    <row r="11" spans="2:6" ht="18" customHeight="1" x14ac:dyDescent="0.2">
      <c r="B11" s="69" t="s">
        <v>6</v>
      </c>
      <c r="C11" s="57" t="s">
        <v>7</v>
      </c>
      <c r="D11" s="58"/>
      <c r="E11" s="58"/>
      <c r="F11" s="59"/>
    </row>
    <row r="12" spans="2:6" ht="32" customHeight="1" x14ac:dyDescent="0.2">
      <c r="B12" s="70"/>
      <c r="C12" s="60"/>
      <c r="D12" s="61"/>
      <c r="E12" s="61"/>
      <c r="F12" s="62"/>
    </row>
    <row r="13" spans="2:6" ht="18" customHeight="1" x14ac:dyDescent="0.2">
      <c r="B13" s="69" t="s">
        <v>8</v>
      </c>
      <c r="C13" s="57" t="s">
        <v>9</v>
      </c>
      <c r="D13" s="58"/>
      <c r="E13" s="58"/>
      <c r="F13" s="59"/>
    </row>
    <row r="14" spans="2:6" ht="32" customHeight="1" x14ac:dyDescent="0.2">
      <c r="B14" s="70"/>
      <c r="C14" s="60"/>
      <c r="D14" s="61"/>
      <c r="E14" s="61"/>
      <c r="F14" s="62"/>
    </row>
    <row r="15" spans="2:6" ht="28" customHeight="1" x14ac:dyDescent="0.2">
      <c r="B15" s="67" t="s">
        <v>10</v>
      </c>
      <c r="C15" s="65"/>
      <c r="D15" s="65"/>
      <c r="E15" s="65"/>
      <c r="F15" s="66"/>
    </row>
    <row r="17" spans="2:6" ht="22" customHeight="1" x14ac:dyDescent="0.2">
      <c r="B17" s="63" t="s">
        <v>11</v>
      </c>
      <c r="C17" s="56"/>
      <c r="D17" s="56"/>
      <c r="E17" s="56"/>
      <c r="F17" s="56"/>
    </row>
    <row r="18" spans="2:6" ht="20" customHeight="1" x14ac:dyDescent="0.2">
      <c r="B18" s="64" t="s">
        <v>12</v>
      </c>
      <c r="C18" s="56"/>
      <c r="D18" s="56"/>
      <c r="E18" s="56"/>
      <c r="F18" s="56"/>
    </row>
    <row r="20" spans="2:6" ht="20" customHeight="1" x14ac:dyDescent="0.2">
      <c r="B20" s="45" t="s">
        <v>13</v>
      </c>
      <c r="C20" s="45" t="s">
        <v>14</v>
      </c>
      <c r="D20" s="45" t="s">
        <v>15</v>
      </c>
      <c r="E20" s="45" t="s">
        <v>16</v>
      </c>
      <c r="F20" s="45" t="s">
        <v>17</v>
      </c>
    </row>
    <row r="21" spans="2:6" ht="38" customHeight="1" x14ac:dyDescent="0.2">
      <c r="B21" s="46" t="s">
        <v>18</v>
      </c>
      <c r="C21" s="44" t="s">
        <v>19</v>
      </c>
      <c r="D21" s="47" t="s">
        <v>20</v>
      </c>
      <c r="E21" s="48" t="s">
        <v>20</v>
      </c>
      <c r="F21" s="49" t="s">
        <v>20</v>
      </c>
    </row>
    <row r="22" spans="2:6" ht="38" customHeight="1" x14ac:dyDescent="0.2">
      <c r="B22" s="50" t="s">
        <v>21</v>
      </c>
      <c r="C22" s="51" t="s">
        <v>22</v>
      </c>
      <c r="D22" s="47" t="s">
        <v>23</v>
      </c>
      <c r="E22" s="48" t="s">
        <v>23</v>
      </c>
      <c r="F22" s="49" t="s">
        <v>23</v>
      </c>
    </row>
    <row r="23" spans="2:6" ht="38" customHeight="1" x14ac:dyDescent="0.2">
      <c r="B23" s="46" t="s">
        <v>24</v>
      </c>
      <c r="C23" s="44" t="s">
        <v>25</v>
      </c>
      <c r="D23" s="47" t="s">
        <v>20</v>
      </c>
      <c r="E23" s="48" t="s">
        <v>20</v>
      </c>
      <c r="F23" s="49" t="s">
        <v>20</v>
      </c>
    </row>
    <row r="24" spans="2:6" ht="38" customHeight="1" x14ac:dyDescent="0.2">
      <c r="B24" s="50" t="s">
        <v>26</v>
      </c>
      <c r="C24" s="51" t="s">
        <v>27</v>
      </c>
      <c r="D24" s="47" t="s">
        <v>20</v>
      </c>
      <c r="E24" s="48" t="s">
        <v>20</v>
      </c>
      <c r="F24" s="49" t="s">
        <v>20</v>
      </c>
    </row>
    <row r="25" spans="2:6" ht="38" customHeight="1" x14ac:dyDescent="0.2">
      <c r="B25" s="46" t="s">
        <v>28</v>
      </c>
      <c r="C25" s="44" t="s">
        <v>29</v>
      </c>
      <c r="D25" s="47" t="s">
        <v>20</v>
      </c>
      <c r="E25" s="48" t="s">
        <v>20</v>
      </c>
      <c r="F25" s="49" t="s">
        <v>20</v>
      </c>
    </row>
    <row r="26" spans="2:6" ht="38" customHeight="1" x14ac:dyDescent="0.2">
      <c r="B26" s="50" t="s">
        <v>30</v>
      </c>
      <c r="C26" s="51" t="s">
        <v>31</v>
      </c>
      <c r="D26" s="47" t="s">
        <v>20</v>
      </c>
      <c r="E26" s="52" t="s">
        <v>32</v>
      </c>
      <c r="F26" s="49" t="s">
        <v>20</v>
      </c>
    </row>
    <row r="27" spans="2:6" ht="38" customHeight="1" x14ac:dyDescent="0.2">
      <c r="B27" s="46" t="s">
        <v>33</v>
      </c>
      <c r="C27" s="44" t="s">
        <v>34</v>
      </c>
      <c r="D27" s="47" t="s">
        <v>20</v>
      </c>
      <c r="E27" s="53" t="s">
        <v>32</v>
      </c>
      <c r="F27" s="49" t="s">
        <v>20</v>
      </c>
    </row>
    <row r="28" spans="2:6" ht="38" customHeight="1" x14ac:dyDescent="0.2">
      <c r="B28" s="50" t="s">
        <v>35</v>
      </c>
      <c r="C28" s="51" t="s">
        <v>36</v>
      </c>
      <c r="D28" s="47" t="s">
        <v>20</v>
      </c>
      <c r="E28" s="48" t="s">
        <v>20</v>
      </c>
      <c r="F28" s="49" t="s">
        <v>20</v>
      </c>
    </row>
    <row r="29" spans="2:6" ht="38" customHeight="1" x14ac:dyDescent="0.2">
      <c r="B29" s="46" t="s">
        <v>37</v>
      </c>
      <c r="C29" s="44" t="s">
        <v>38</v>
      </c>
      <c r="D29" s="47" t="s">
        <v>39</v>
      </c>
      <c r="E29" s="48" t="s">
        <v>39</v>
      </c>
      <c r="F29" s="53" t="s">
        <v>32</v>
      </c>
    </row>
    <row r="30" spans="2:6" ht="38" customHeight="1" x14ac:dyDescent="0.2">
      <c r="B30" s="50" t="s">
        <v>40</v>
      </c>
      <c r="C30" s="51" t="s">
        <v>41</v>
      </c>
      <c r="D30" s="47" t="s">
        <v>20</v>
      </c>
      <c r="E30" s="48" t="s">
        <v>20</v>
      </c>
      <c r="F30" s="52" t="s">
        <v>32</v>
      </c>
    </row>
    <row r="31" spans="2:6" ht="38" customHeight="1" x14ac:dyDescent="0.2">
      <c r="B31" s="46" t="s">
        <v>42</v>
      </c>
      <c r="C31" s="44" t="s">
        <v>43</v>
      </c>
      <c r="D31" s="53" t="s">
        <v>32</v>
      </c>
      <c r="E31" s="48" t="s">
        <v>44</v>
      </c>
      <c r="F31" s="53" t="s">
        <v>32</v>
      </c>
    </row>
    <row r="32" spans="2:6" ht="38" customHeight="1" x14ac:dyDescent="0.2">
      <c r="B32" s="50" t="s">
        <v>45</v>
      </c>
      <c r="C32" s="51" t="s">
        <v>46</v>
      </c>
      <c r="D32" s="52" t="s">
        <v>32</v>
      </c>
      <c r="E32" s="52" t="s">
        <v>32</v>
      </c>
      <c r="F32" s="49" t="s">
        <v>20</v>
      </c>
    </row>
    <row r="33" spans="2:6" ht="38" customHeight="1" x14ac:dyDescent="0.2">
      <c r="B33" s="46" t="s">
        <v>47</v>
      </c>
      <c r="C33" s="44" t="s">
        <v>48</v>
      </c>
      <c r="D33" s="53" t="s">
        <v>32</v>
      </c>
      <c r="E33" s="53" t="s">
        <v>32</v>
      </c>
      <c r="F33" s="49" t="s">
        <v>20</v>
      </c>
    </row>
    <row r="35" spans="2:6" ht="22" customHeight="1" x14ac:dyDescent="0.2">
      <c r="B35" s="63" t="s">
        <v>49</v>
      </c>
      <c r="C35" s="56"/>
      <c r="D35" s="56"/>
      <c r="E35" s="56"/>
      <c r="F35" s="56"/>
    </row>
    <row r="36" spans="2:6" x14ac:dyDescent="0.2">
      <c r="B36" s="64" t="s">
        <v>50</v>
      </c>
      <c r="C36" s="56"/>
      <c r="D36" s="56"/>
      <c r="E36" s="56"/>
      <c r="F36" s="56"/>
    </row>
    <row r="37" spans="2:6" x14ac:dyDescent="0.2">
      <c r="B37" s="45" t="s">
        <v>51</v>
      </c>
      <c r="C37" s="72" t="s">
        <v>52</v>
      </c>
      <c r="D37" s="65"/>
      <c r="E37" s="65"/>
      <c r="F37" s="66"/>
    </row>
    <row r="38" spans="2:6" ht="36" customHeight="1" x14ac:dyDescent="0.2">
      <c r="B38" s="46" t="s">
        <v>53</v>
      </c>
      <c r="C38" s="57" t="s">
        <v>54</v>
      </c>
      <c r="D38" s="65"/>
      <c r="E38" s="65"/>
      <c r="F38" s="66"/>
    </row>
    <row r="39" spans="2:6" ht="36" customHeight="1" x14ac:dyDescent="0.2">
      <c r="B39" s="50" t="s">
        <v>55</v>
      </c>
      <c r="C39" s="68" t="s">
        <v>56</v>
      </c>
      <c r="D39" s="65"/>
      <c r="E39" s="65"/>
      <c r="F39" s="66"/>
    </row>
    <row r="40" spans="2:6" ht="36" customHeight="1" x14ac:dyDescent="0.2">
      <c r="B40" s="46" t="s">
        <v>57</v>
      </c>
      <c r="C40" s="57" t="s">
        <v>58</v>
      </c>
      <c r="D40" s="65"/>
      <c r="E40" s="65"/>
      <c r="F40" s="66"/>
    </row>
    <row r="41" spans="2:6" ht="36" customHeight="1" x14ac:dyDescent="0.2">
      <c r="B41" s="50" t="s">
        <v>59</v>
      </c>
      <c r="C41" s="68" t="s">
        <v>60</v>
      </c>
      <c r="D41" s="65"/>
      <c r="E41" s="65"/>
      <c r="F41" s="66"/>
    </row>
    <row r="42" spans="2:6" ht="36" customHeight="1" x14ac:dyDescent="0.2">
      <c r="B42" s="46" t="s">
        <v>61</v>
      </c>
      <c r="C42" s="57" t="s">
        <v>62</v>
      </c>
      <c r="D42" s="65"/>
      <c r="E42" s="65"/>
      <c r="F42" s="66"/>
    </row>
    <row r="43" spans="2:6" ht="36" customHeight="1" x14ac:dyDescent="0.2">
      <c r="B43" s="50" t="s">
        <v>63</v>
      </c>
      <c r="C43" s="68" t="s">
        <v>64</v>
      </c>
      <c r="D43" s="65"/>
      <c r="E43" s="65"/>
      <c r="F43" s="66"/>
    </row>
    <row r="44" spans="2:6" ht="36" customHeight="1" x14ac:dyDescent="0.2">
      <c r="B44" s="46" t="s">
        <v>65</v>
      </c>
      <c r="C44" s="57" t="s">
        <v>66</v>
      </c>
      <c r="D44" s="65"/>
      <c r="E44" s="65"/>
      <c r="F44" s="66"/>
    </row>
    <row r="45" spans="2:6" ht="36" customHeight="1" x14ac:dyDescent="0.2">
      <c r="B45" s="50" t="s">
        <v>67</v>
      </c>
      <c r="C45" s="68" t="s">
        <v>68</v>
      </c>
      <c r="D45" s="65"/>
      <c r="E45" s="65"/>
      <c r="F45" s="66"/>
    </row>
    <row r="46" spans="2:6" ht="36" customHeight="1" x14ac:dyDescent="0.2">
      <c r="B46" s="46" t="s">
        <v>69</v>
      </c>
      <c r="C46" s="57" t="s">
        <v>70</v>
      </c>
      <c r="D46" s="65"/>
      <c r="E46" s="65"/>
      <c r="F46" s="66"/>
    </row>
    <row r="47" spans="2:6" ht="36" customHeight="1" x14ac:dyDescent="0.2">
      <c r="B47" s="50" t="s">
        <v>71</v>
      </c>
      <c r="C47" s="68" t="s">
        <v>72</v>
      </c>
      <c r="D47" s="65"/>
      <c r="E47" s="65"/>
      <c r="F47" s="66"/>
    </row>
    <row r="49" spans="2:6" x14ac:dyDescent="0.2">
      <c r="B49" s="64"/>
      <c r="C49" s="56"/>
      <c r="D49" s="56"/>
      <c r="E49" s="56"/>
      <c r="F49" s="56"/>
    </row>
    <row r="50" spans="2:6" x14ac:dyDescent="0.2">
      <c r="B50" s="55" t="s">
        <v>73</v>
      </c>
      <c r="C50" s="56"/>
      <c r="D50" s="56"/>
      <c r="E50" s="56"/>
      <c r="F50" s="56"/>
    </row>
  </sheetData>
  <mergeCells count="30">
    <mergeCell ref="B7:B8"/>
    <mergeCell ref="B2:F2"/>
    <mergeCell ref="B13:B14"/>
    <mergeCell ref="C11:F12"/>
    <mergeCell ref="C42:F42"/>
    <mergeCell ref="B17:F17"/>
    <mergeCell ref="B9:B10"/>
    <mergeCell ref="B4:F4"/>
    <mergeCell ref="C39:F39"/>
    <mergeCell ref="C38:F38"/>
    <mergeCell ref="B11:B12"/>
    <mergeCell ref="C37:F37"/>
    <mergeCell ref="B18:F18"/>
    <mergeCell ref="C9:F10"/>
    <mergeCell ref="B50:F50"/>
    <mergeCell ref="C5:F6"/>
    <mergeCell ref="B35:F35"/>
    <mergeCell ref="B49:F49"/>
    <mergeCell ref="C40:F40"/>
    <mergeCell ref="C13:F14"/>
    <mergeCell ref="B15:F15"/>
    <mergeCell ref="C43:F43"/>
    <mergeCell ref="C46:F46"/>
    <mergeCell ref="B36:F36"/>
    <mergeCell ref="C45:F45"/>
    <mergeCell ref="C7:F8"/>
    <mergeCell ref="C41:F41"/>
    <mergeCell ref="C47:F47"/>
    <mergeCell ref="B5:B6"/>
    <mergeCell ref="C44:F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51"/>
  <sheetViews>
    <sheetView tabSelected="1" zoomScaleNormal="100" workbookViewId="0">
      <pane ySplit="4" topLeftCell="A5" activePane="bottomLeft" state="frozen"/>
      <selection pane="bottomLeft" activeCell="U13" sqref="U13"/>
    </sheetView>
  </sheetViews>
  <sheetFormatPr baseColWidth="10" defaultColWidth="8.6640625" defaultRowHeight="15" x14ac:dyDescent="0.2"/>
  <cols>
    <col min="1" max="1" width="5" customWidth="1"/>
    <col min="2" max="2" width="36" customWidth="1"/>
    <col min="3" max="3" width="16.5" customWidth="1"/>
    <col min="4" max="4" width="22" customWidth="1"/>
    <col min="5" max="5" width="14" hidden="1" customWidth="1"/>
    <col min="7" max="7" width="3.6640625" bestFit="1" customWidth="1"/>
    <col min="8" max="8" width="28.83203125" bestFit="1" customWidth="1"/>
    <col min="9" max="9" width="17.33203125" customWidth="1"/>
    <col min="10" max="10" width="24.83203125" customWidth="1"/>
    <col min="11" max="11" width="12.1640625" hidden="1" customWidth="1"/>
    <col min="13" max="13" width="3.6640625" customWidth="1"/>
    <col min="14" max="14" width="29.83203125" bestFit="1" customWidth="1"/>
    <col min="15" max="15" width="13" customWidth="1"/>
    <col min="16" max="16" width="13.83203125" customWidth="1"/>
    <col min="17" max="17" width="11.33203125" hidden="1" customWidth="1"/>
  </cols>
  <sheetData>
    <row r="1" spans="1:17" ht="27.75" customHeight="1" thickBot="1" x14ac:dyDescent="0.25">
      <c r="A1" s="82" t="s">
        <v>74</v>
      </c>
      <c r="B1" s="56"/>
      <c r="C1" s="56"/>
      <c r="D1" s="56"/>
      <c r="E1" s="56"/>
      <c r="G1" s="81" t="s">
        <v>75</v>
      </c>
      <c r="H1" s="56"/>
      <c r="I1" s="56"/>
      <c r="J1" s="56"/>
      <c r="K1" s="56"/>
      <c r="M1" s="78" t="s">
        <v>76</v>
      </c>
      <c r="N1" s="56"/>
      <c r="O1" s="56"/>
      <c r="P1" s="56"/>
      <c r="Q1" s="56"/>
    </row>
    <row r="2" spans="1:17" ht="25.5" customHeight="1" thickBot="1" x14ac:dyDescent="0.25">
      <c r="A2" s="79" t="s">
        <v>77</v>
      </c>
      <c r="B2" s="56"/>
      <c r="C2" s="1" t="s">
        <v>78</v>
      </c>
      <c r="D2" s="76"/>
      <c r="E2" s="56"/>
      <c r="G2" s="79" t="s">
        <v>77</v>
      </c>
      <c r="H2" s="56"/>
      <c r="I2" s="1" t="s">
        <v>78</v>
      </c>
      <c r="J2" s="76"/>
      <c r="K2" s="56"/>
      <c r="M2" s="79" t="s">
        <v>77</v>
      </c>
      <c r="N2" s="56"/>
      <c r="O2" s="1" t="s">
        <v>78</v>
      </c>
      <c r="P2" s="76"/>
      <c r="Q2" s="56"/>
    </row>
    <row r="4" spans="1:17" ht="33.75" customHeight="1" x14ac:dyDescent="0.2">
      <c r="A4" s="2" t="s">
        <v>79</v>
      </c>
      <c r="B4" s="2" t="s">
        <v>80</v>
      </c>
      <c r="C4" s="2" t="s">
        <v>81</v>
      </c>
      <c r="D4" s="2" t="s">
        <v>82</v>
      </c>
      <c r="E4" s="2" t="s">
        <v>83</v>
      </c>
      <c r="G4" s="19" t="s">
        <v>79</v>
      </c>
      <c r="H4" s="19" t="s">
        <v>80</v>
      </c>
      <c r="I4" s="2" t="s">
        <v>81</v>
      </c>
      <c r="J4" s="19" t="s">
        <v>82</v>
      </c>
      <c r="K4" s="19" t="s">
        <v>83</v>
      </c>
      <c r="M4" s="19" t="s">
        <v>79</v>
      </c>
      <c r="N4" s="19" t="s">
        <v>80</v>
      </c>
      <c r="O4" s="2" t="s">
        <v>81</v>
      </c>
      <c r="P4" s="19" t="s">
        <v>82</v>
      </c>
      <c r="Q4" s="19" t="s">
        <v>83</v>
      </c>
    </row>
    <row r="5" spans="1:17" ht="24" customHeight="1" thickBot="1" x14ac:dyDescent="0.25">
      <c r="A5" s="80" t="s">
        <v>84</v>
      </c>
      <c r="B5" s="74"/>
      <c r="C5" s="74"/>
      <c r="D5" s="74"/>
      <c r="E5" s="75"/>
      <c r="G5" s="94" t="s">
        <v>286</v>
      </c>
      <c r="H5" s="95"/>
      <c r="I5" s="95"/>
      <c r="J5" s="95"/>
      <c r="K5" s="96"/>
      <c r="M5" s="77" t="s">
        <v>85</v>
      </c>
      <c r="N5" s="74"/>
      <c r="O5" s="74"/>
      <c r="P5" s="74"/>
      <c r="Q5" s="75"/>
    </row>
    <row r="6" spans="1:17" ht="21.75" customHeight="1" thickBot="1" x14ac:dyDescent="0.25">
      <c r="A6" s="3">
        <v>1</v>
      </c>
      <c r="B6" s="20" t="s">
        <v>279</v>
      </c>
      <c r="C6" s="18"/>
      <c r="D6" s="5"/>
      <c r="E6" s="6" t="str">
        <f>IF(OR($C$2="Все типы",$C$2&lt;&gt;"Земля"),"Да","—")</f>
        <v>Да</v>
      </c>
      <c r="G6" s="21">
        <v>1</v>
      </c>
      <c r="H6" s="22" t="s">
        <v>91</v>
      </c>
      <c r="I6" s="5"/>
      <c r="J6" s="5"/>
      <c r="K6" s="23" t="str">
        <f>"Да"</f>
        <v>Да</v>
      </c>
      <c r="M6" s="7">
        <v>1</v>
      </c>
      <c r="N6" s="41" t="s">
        <v>88</v>
      </c>
      <c r="O6" s="5"/>
      <c r="P6" s="5"/>
      <c r="Q6" s="9" t="str">
        <f t="shared" ref="Q6:Q14" si="0">"Да"</f>
        <v>Да</v>
      </c>
    </row>
    <row r="7" spans="1:17" ht="21.75" customHeight="1" thickBot="1" x14ac:dyDescent="0.25">
      <c r="A7" s="3">
        <v>2</v>
      </c>
      <c r="B7" s="4" t="s">
        <v>86</v>
      </c>
      <c r="C7" s="18"/>
      <c r="D7" s="5"/>
      <c r="E7" s="6" t="str">
        <f>IF(OR($C$2="Все типы",$C$2="Торговая",$C$2="ПСН"),"Да","—")</f>
        <v>Да</v>
      </c>
      <c r="G7" s="21">
        <v>2</v>
      </c>
      <c r="H7" s="22" t="s">
        <v>93</v>
      </c>
      <c r="I7" s="5"/>
      <c r="J7" s="5"/>
      <c r="K7" s="23" t="str">
        <f>"Да"</f>
        <v>Да</v>
      </c>
      <c r="M7" s="7">
        <v>2</v>
      </c>
      <c r="N7" s="41" t="s">
        <v>89</v>
      </c>
      <c r="O7" s="5"/>
      <c r="P7" s="5"/>
      <c r="Q7" s="9" t="str">
        <f t="shared" si="0"/>
        <v>Да</v>
      </c>
    </row>
    <row r="8" spans="1:17" ht="21.75" customHeight="1" thickBot="1" x14ac:dyDescent="0.25">
      <c r="A8" s="89" t="s">
        <v>90</v>
      </c>
      <c r="B8" s="90"/>
      <c r="C8" s="90"/>
      <c r="D8" s="90"/>
      <c r="E8" s="91"/>
      <c r="G8" s="21">
        <v>3</v>
      </c>
      <c r="H8" s="22" t="s">
        <v>87</v>
      </c>
      <c r="I8" s="5"/>
      <c r="J8" s="5"/>
      <c r="K8" s="23" t="str">
        <f>"Да"</f>
        <v>Да</v>
      </c>
      <c r="M8" s="7">
        <v>3</v>
      </c>
      <c r="N8" s="41" t="s">
        <v>92</v>
      </c>
      <c r="O8" s="5"/>
      <c r="P8" s="5"/>
      <c r="Q8" s="9" t="str">
        <f t="shared" si="0"/>
        <v>Да</v>
      </c>
    </row>
    <row r="9" spans="1:17" ht="21.75" customHeight="1" thickBot="1" x14ac:dyDescent="0.25">
      <c r="A9" s="7">
        <v>3</v>
      </c>
      <c r="B9" s="8" t="s">
        <v>94</v>
      </c>
      <c r="C9" s="18"/>
      <c r="D9" s="5"/>
      <c r="E9" s="9" t="str">
        <f>"Да"</f>
        <v>Да</v>
      </c>
      <c r="G9" s="21">
        <v>4</v>
      </c>
      <c r="H9" s="22" t="s">
        <v>95</v>
      </c>
      <c r="I9" s="5"/>
      <c r="J9" s="5"/>
      <c r="K9" s="23" t="str">
        <f>IF(OR($I$2="Все типы",$I$2="Готовый бизнес"),"Да","—")</f>
        <v>Да</v>
      </c>
      <c r="M9" s="131" t="s">
        <v>298</v>
      </c>
      <c r="N9" s="132"/>
      <c r="O9" s="132"/>
      <c r="P9" s="132"/>
      <c r="Q9" s="133"/>
    </row>
    <row r="10" spans="1:17" ht="21.75" customHeight="1" thickBot="1" x14ac:dyDescent="0.25">
      <c r="A10" s="7">
        <v>4</v>
      </c>
      <c r="B10" s="41" t="s">
        <v>283</v>
      </c>
      <c r="C10" s="18"/>
      <c r="D10" s="5"/>
      <c r="E10" s="9" t="str">
        <f>"Да"</f>
        <v>Да</v>
      </c>
      <c r="G10" s="21">
        <v>5</v>
      </c>
      <c r="H10" s="22" t="s">
        <v>96</v>
      </c>
      <c r="I10" s="5"/>
      <c r="J10" s="5"/>
      <c r="K10" s="23" t="str">
        <f>"Да"</f>
        <v>Да</v>
      </c>
      <c r="M10" s="3">
        <v>4</v>
      </c>
      <c r="N10" s="20" t="s">
        <v>105</v>
      </c>
      <c r="O10" s="5"/>
      <c r="P10" s="5"/>
      <c r="Q10" s="6" t="str">
        <f>"Да"</f>
        <v>Да</v>
      </c>
    </row>
    <row r="11" spans="1:17" ht="21.75" customHeight="1" thickBot="1" x14ac:dyDescent="0.25">
      <c r="A11" s="7">
        <v>5</v>
      </c>
      <c r="B11" s="41" t="s">
        <v>280</v>
      </c>
      <c r="C11" s="18"/>
      <c r="D11" s="5"/>
      <c r="E11" s="9" t="str">
        <f>"Да"</f>
        <v>Да</v>
      </c>
      <c r="G11" s="21">
        <v>6</v>
      </c>
      <c r="H11" s="22" t="s">
        <v>98</v>
      </c>
      <c r="I11" s="5"/>
      <c r="J11" s="5"/>
      <c r="K11" s="23" t="str">
        <f>"Да"</f>
        <v>Да</v>
      </c>
      <c r="M11" s="3">
        <v>5</v>
      </c>
      <c r="N11" s="20" t="s">
        <v>107</v>
      </c>
      <c r="O11" s="5"/>
      <c r="P11" s="5"/>
      <c r="Q11" s="6" t="str">
        <f>"Да"</f>
        <v>Да</v>
      </c>
    </row>
    <row r="12" spans="1:17" ht="21.75" customHeight="1" thickBot="1" x14ac:dyDescent="0.25">
      <c r="A12" s="7">
        <v>6</v>
      </c>
      <c r="B12" s="8" t="s">
        <v>97</v>
      </c>
      <c r="C12" s="18"/>
      <c r="D12" s="5"/>
      <c r="E12" s="9" t="str">
        <f>IF(OR($C$2="Все типы",$C$2&lt;&gt;"Земля"),"Да","—")</f>
        <v>Да</v>
      </c>
      <c r="G12" s="21">
        <v>7</v>
      </c>
      <c r="H12" s="22" t="s">
        <v>100</v>
      </c>
      <c r="I12" s="5"/>
      <c r="J12" s="5"/>
      <c r="K12" s="23" t="str">
        <f>"Да"</f>
        <v>Да</v>
      </c>
      <c r="M12" s="134" t="s">
        <v>299</v>
      </c>
      <c r="N12" s="135"/>
      <c r="O12" s="135"/>
      <c r="P12" s="135"/>
      <c r="Q12" s="136"/>
    </row>
    <row r="13" spans="1:17" ht="21.75" customHeight="1" thickBot="1" x14ac:dyDescent="0.25">
      <c r="A13" s="7">
        <v>7</v>
      </c>
      <c r="B13" s="8" t="s">
        <v>99</v>
      </c>
      <c r="C13" s="18"/>
      <c r="D13" s="5"/>
      <c r="E13" s="9" t="str">
        <f>"Да"</f>
        <v>Да</v>
      </c>
      <c r="G13" s="21">
        <v>8</v>
      </c>
      <c r="H13" s="22" t="s">
        <v>102</v>
      </c>
      <c r="I13" s="5"/>
      <c r="J13" s="5"/>
      <c r="K13" s="23" t="str">
        <f>"Да"</f>
        <v>Да</v>
      </c>
      <c r="M13" s="25">
        <v>6</v>
      </c>
      <c r="N13" s="26" t="s">
        <v>108</v>
      </c>
      <c r="O13" s="5"/>
      <c r="P13" s="5"/>
      <c r="Q13" s="27" t="str">
        <f>"Да"</f>
        <v>Да</v>
      </c>
    </row>
    <row r="14" spans="1:17" ht="24" customHeight="1" thickBot="1" x14ac:dyDescent="0.25">
      <c r="A14" s="7">
        <v>8</v>
      </c>
      <c r="B14" s="8" t="s">
        <v>101</v>
      </c>
      <c r="C14" s="18"/>
      <c r="D14" s="5"/>
      <c r="E14" s="9" t="str">
        <f>"Да"</f>
        <v>Да</v>
      </c>
      <c r="G14" s="21">
        <v>9</v>
      </c>
      <c r="H14" s="22" t="s">
        <v>104</v>
      </c>
      <c r="I14" s="5"/>
      <c r="J14" s="5"/>
      <c r="K14" s="23" t="str">
        <f>"Да"</f>
        <v>Да</v>
      </c>
      <c r="M14" s="25">
        <v>7</v>
      </c>
      <c r="N14" s="26" t="s">
        <v>109</v>
      </c>
      <c r="O14" s="5"/>
      <c r="P14" s="5"/>
      <c r="Q14" s="27" t="str">
        <f>"Да"</f>
        <v>Да</v>
      </c>
    </row>
    <row r="15" spans="1:17" ht="21.75" customHeight="1" thickBot="1" x14ac:dyDescent="0.25">
      <c r="A15" s="7">
        <v>9</v>
      </c>
      <c r="B15" s="8" t="s">
        <v>103</v>
      </c>
      <c r="C15" s="18"/>
      <c r="D15" s="5"/>
      <c r="E15" s="9" t="str">
        <f>"Да"</f>
        <v>Да</v>
      </c>
      <c r="G15" s="97" t="s">
        <v>287</v>
      </c>
      <c r="H15" s="98"/>
      <c r="I15" s="98"/>
      <c r="J15" s="98"/>
      <c r="K15" s="99"/>
      <c r="M15" s="25">
        <v>8</v>
      </c>
      <c r="N15" s="26" t="s">
        <v>110</v>
      </c>
      <c r="O15" s="5"/>
      <c r="P15" s="5"/>
      <c r="Q15" s="27" t="str">
        <f>"Да"</f>
        <v>Да</v>
      </c>
    </row>
    <row r="16" spans="1:17" ht="21.75" customHeight="1" thickBot="1" x14ac:dyDescent="0.25">
      <c r="A16" s="7">
        <v>10</v>
      </c>
      <c r="B16" s="8" t="s">
        <v>106</v>
      </c>
      <c r="C16" s="18"/>
      <c r="D16" s="5"/>
      <c r="E16" s="9" t="str">
        <f>IF(OR($C$2="Все типы",$C$2="Склад",$C$2="Земля",$C$2="Производство"),"Да","—")</f>
        <v>Да</v>
      </c>
      <c r="G16" s="10">
        <v>10</v>
      </c>
      <c r="H16" s="54" t="s">
        <v>115</v>
      </c>
      <c r="I16" s="5"/>
      <c r="J16" s="5"/>
      <c r="K16" s="11" t="str">
        <f>"Да"</f>
        <v>Да</v>
      </c>
      <c r="M16" s="137" t="s">
        <v>300</v>
      </c>
      <c r="N16" s="138"/>
      <c r="O16" s="138"/>
      <c r="P16" s="138"/>
      <c r="Q16" s="139"/>
    </row>
    <row r="17" spans="1:17" ht="21.75" customHeight="1" thickBot="1" x14ac:dyDescent="0.25">
      <c r="A17" s="86" t="s">
        <v>284</v>
      </c>
      <c r="B17" s="87"/>
      <c r="C17" s="87"/>
      <c r="D17" s="87"/>
      <c r="E17" s="88"/>
      <c r="G17" s="10">
        <v>11</v>
      </c>
      <c r="H17" s="54" t="s">
        <v>117</v>
      </c>
      <c r="I17" s="5"/>
      <c r="J17" s="5"/>
      <c r="K17" s="11" t="str">
        <f>"Да"</f>
        <v>Да</v>
      </c>
      <c r="M17" s="10">
        <v>9</v>
      </c>
      <c r="N17" s="24" t="s">
        <v>111</v>
      </c>
      <c r="O17" s="5"/>
      <c r="P17" s="5"/>
      <c r="Q17" s="11" t="str">
        <f>"Да"</f>
        <v>Да</v>
      </c>
    </row>
    <row r="18" spans="1:17" ht="21.75" customHeight="1" thickBot="1" x14ac:dyDescent="0.25">
      <c r="A18" s="12">
        <v>11</v>
      </c>
      <c r="B18" s="13" t="s">
        <v>130</v>
      </c>
      <c r="C18" s="18"/>
      <c r="D18" s="5"/>
      <c r="E18" s="14" t="str">
        <f>"Да"</f>
        <v>Да</v>
      </c>
      <c r="G18" s="100" t="s">
        <v>288</v>
      </c>
      <c r="H18" s="101"/>
      <c r="I18" s="101"/>
      <c r="J18" s="101"/>
      <c r="K18" s="102"/>
      <c r="M18" s="10">
        <v>10</v>
      </c>
      <c r="N18" s="24" t="s">
        <v>112</v>
      </c>
      <c r="O18" s="5"/>
      <c r="P18" s="5"/>
      <c r="Q18" s="11" t="str">
        <f>"Да"</f>
        <v>Да</v>
      </c>
    </row>
    <row r="19" spans="1:17" ht="21.75" customHeight="1" thickBot="1" x14ac:dyDescent="0.25">
      <c r="A19" s="12">
        <v>12</v>
      </c>
      <c r="B19" s="13" t="s">
        <v>132</v>
      </c>
      <c r="C19" s="18"/>
      <c r="D19" s="5"/>
      <c r="E19" s="14" t="str">
        <f>IF(OR($C$2="Все типы",$C$2&lt;&gt;"Земля"),"Да","—")</f>
        <v>Да</v>
      </c>
      <c r="G19" s="25">
        <v>12</v>
      </c>
      <c r="H19" s="26" t="s">
        <v>125</v>
      </c>
      <c r="I19" s="5"/>
      <c r="J19" s="5"/>
      <c r="K19" s="27" t="str">
        <f>IF(OR($I$2="Все типы",AND($I$2&lt;&gt;"Гараж",$I$2&lt;&gt;"Готовый бизнес",$I$2&lt;&gt;"Земля")),"Да","—")</f>
        <v>Да</v>
      </c>
      <c r="M19" s="10">
        <v>11</v>
      </c>
      <c r="N19" s="24" t="s">
        <v>113</v>
      </c>
      <c r="O19" s="5"/>
      <c r="P19" s="5"/>
      <c r="Q19" s="11" t="str">
        <f>IF(OR($O$2="Все типы",$O$2="Торговая"),"Да","—")</f>
        <v>Да</v>
      </c>
    </row>
    <row r="20" spans="1:17" ht="21.75" customHeight="1" thickBot="1" x14ac:dyDescent="0.25">
      <c r="A20" s="12">
        <v>13</v>
      </c>
      <c r="B20" s="13" t="s">
        <v>134</v>
      </c>
      <c r="C20" s="18"/>
      <c r="D20" s="5"/>
      <c r="E20" s="14" t="str">
        <f>IF(OR($C$2="Все типы",$C$2&lt;&gt;"Земля"),"Да","—")</f>
        <v>Да</v>
      </c>
      <c r="G20" s="25">
        <v>13</v>
      </c>
      <c r="H20" s="26" t="s">
        <v>126</v>
      </c>
      <c r="I20" s="5"/>
      <c r="J20" s="5"/>
      <c r="K20" s="27" t="str">
        <f>IF(OR($I$2="Все типы",$I$2="Офис",$I$2="Склад",$I$2="Торговая",$I$2="ПСН",$I$2="Производство",$I$2="Здание"),"Да","—")</f>
        <v>Да</v>
      </c>
      <c r="M20" s="10">
        <v>12</v>
      </c>
      <c r="N20" s="24" t="s">
        <v>114</v>
      </c>
      <c r="O20" s="5"/>
      <c r="P20" s="5"/>
      <c r="Q20" s="11" t="str">
        <f>IF(OR($O$2="Все типы",$O$2="ПСН",$O$2="Торговая",$O$2="Склад",$O$2="Производство",$O$2="Общепит",$O$2="Гостиница",$O$2="Автосервис",$O$2="Здание"),"Да","—")</f>
        <v>Да</v>
      </c>
    </row>
    <row r="21" spans="1:17" ht="21.75" customHeight="1" thickBot="1" x14ac:dyDescent="0.25">
      <c r="A21" s="12">
        <v>14</v>
      </c>
      <c r="B21" s="13" t="s">
        <v>136</v>
      </c>
      <c r="C21" s="18"/>
      <c r="D21" s="5"/>
      <c r="E21" s="14" t="str">
        <f t="shared" ref="E21:E26" si="1">"Да"</f>
        <v>Да</v>
      </c>
      <c r="G21" s="25">
        <v>14</v>
      </c>
      <c r="H21" s="26" t="s">
        <v>128</v>
      </c>
      <c r="I21" s="5"/>
      <c r="J21" s="5"/>
      <c r="K21" s="27" t="str">
        <f>IF(OR($I$2="Все типы",$I$2="Торговая",$I$2="ПСН",$I$2="Здание"),"Да","—")</f>
        <v>Да</v>
      </c>
      <c r="M21" s="10">
        <v>13</v>
      </c>
      <c r="N21" s="24" t="s">
        <v>116</v>
      </c>
      <c r="O21" s="5"/>
      <c r="P21" s="5"/>
      <c r="Q21" s="11" t="str">
        <f>IF(OR($O$2="Все типы",$O$2="Офис",$O$2="ПСН",$O$2="Торговая",$O$2="Склад",$O$2="Производство",$O$2="Общепит",$O$2="Гостиница",$O$2="Автосервис"),"Да","—")</f>
        <v>Да</v>
      </c>
    </row>
    <row r="22" spans="1:17" ht="21.75" customHeight="1" thickBot="1" x14ac:dyDescent="0.25">
      <c r="A22" s="12">
        <v>15</v>
      </c>
      <c r="B22" s="13" t="s">
        <v>139</v>
      </c>
      <c r="C22" s="18"/>
      <c r="D22" s="5"/>
      <c r="E22" s="14" t="str">
        <f t="shared" si="1"/>
        <v>Да</v>
      </c>
      <c r="G22" s="25">
        <v>15</v>
      </c>
      <c r="H22" s="26" t="s">
        <v>131</v>
      </c>
      <c r="I22" s="5"/>
      <c r="J22" s="5"/>
      <c r="K22" s="27" t="str">
        <f>IF(OR($I$2="Все типы",$I$2="Офис",$I$2="Торговая",$I$2="ПСН"),"Да","—")</f>
        <v>Да</v>
      </c>
      <c r="M22" s="10">
        <v>14</v>
      </c>
      <c r="N22" s="24" t="s">
        <v>118</v>
      </c>
      <c r="O22" s="5"/>
      <c r="P22" s="5"/>
      <c r="Q22" s="11" t="str">
        <f>IF(OR($O$2="Все типы",$O$2="Кладовая"),"Да","—")</f>
        <v>Да</v>
      </c>
    </row>
    <row r="23" spans="1:17" ht="21.75" customHeight="1" thickBot="1" x14ac:dyDescent="0.25">
      <c r="A23" s="12">
        <v>16</v>
      </c>
      <c r="B23" s="13" t="s">
        <v>142</v>
      </c>
      <c r="C23" s="18"/>
      <c r="D23" s="5"/>
      <c r="E23" s="14" t="str">
        <f t="shared" si="1"/>
        <v>Да</v>
      </c>
      <c r="G23" s="25">
        <v>16</v>
      </c>
      <c r="H23" s="26" t="s">
        <v>133</v>
      </c>
      <c r="I23" s="5"/>
      <c r="J23" s="5"/>
      <c r="K23" s="27" t="str">
        <f>IF(OR($I$2="Все типы",$I$2="Офис",$CH2="Склад",$I$2="Торговая",$I$2="ПСН",$I$2="Производство",$I$2="Здание"),"Да","—")</f>
        <v>Да</v>
      </c>
      <c r="M23" s="10">
        <v>15</v>
      </c>
      <c r="N23" s="24" t="s">
        <v>119</v>
      </c>
      <c r="O23" s="5"/>
      <c r="P23" s="5"/>
      <c r="Q23" s="11" t="str">
        <f>IF(OR($O$2="Все типы",$O$2="Офис",$O$2="ПСН",$O$2="Торговая",$O$2="Склад",$O$2="Производство",$O$2="Общепит",$O$2="Гостиница",$O$2="Автосервис",$O$2="Здание"),"Да","—")</f>
        <v>Да</v>
      </c>
    </row>
    <row r="24" spans="1:17" ht="24" customHeight="1" thickBot="1" x14ac:dyDescent="0.25">
      <c r="A24" s="12">
        <v>17</v>
      </c>
      <c r="B24" s="13" t="s">
        <v>150</v>
      </c>
      <c r="C24" s="18"/>
      <c r="D24" s="5"/>
      <c r="E24" s="14" t="str">
        <f>IF(OR($C$2="Все типы",$C$2="Офис",$C$2="Гостиница",$C$2="Общепит",$C$2="Торговая",$C$2="ПСН"),"Да","—")</f>
        <v>Да</v>
      </c>
      <c r="G24" s="25">
        <v>17</v>
      </c>
      <c r="H24" s="26" t="s">
        <v>135</v>
      </c>
      <c r="I24" s="5"/>
      <c r="J24" s="5"/>
      <c r="K24" s="27" t="str">
        <f>IF(OR($C$2="Все типы",$C$2="Офис",$C$2="Склад",$C$2="Торговая",$C$2="ПСН",$C$2="Производство"),"Да","—")</f>
        <v>Да</v>
      </c>
      <c r="M24" s="10">
        <v>16</v>
      </c>
      <c r="N24" s="24" t="s">
        <v>120</v>
      </c>
      <c r="O24" s="5"/>
      <c r="P24" s="5"/>
      <c r="Q24" s="11" t="str">
        <f>IF(OR($O$2="Все типы",$O$2="Офис",$O$2="ПСН",$O$2="Торговая",$O$2="Склад",$O$2="Производство",$O$2="Общепит",$O$2="Гостиница",$O$2="Автосервис",$O$2="Здание"),"Да","—")</f>
        <v>Да</v>
      </c>
    </row>
    <row r="25" spans="1:17" ht="21.75" customHeight="1" thickBot="1" x14ac:dyDescent="0.25">
      <c r="A25" s="12">
        <v>18</v>
      </c>
      <c r="B25" s="13" t="s">
        <v>151</v>
      </c>
      <c r="C25" s="18"/>
      <c r="D25" s="5"/>
      <c r="E25" s="14" t="str">
        <f>IF(OR($C$2="Все типы",$C$2&lt;&gt;"Земля"),"Да","—")</f>
        <v>Да</v>
      </c>
      <c r="G25" s="25">
        <v>18</v>
      </c>
      <c r="H25" s="26" t="s">
        <v>137</v>
      </c>
      <c r="I25" s="5"/>
      <c r="J25" s="5"/>
      <c r="K25" s="27" t="str">
        <f>IF(OR($C$2="Все типы",$C$2="Офис",$C$2="Склад",$C$2="Торговая",$C$2="ПСН",$C$2="Производство"),"Да","—")</f>
        <v>Да</v>
      </c>
      <c r="M25" s="10">
        <v>17</v>
      </c>
      <c r="N25" s="24" t="s">
        <v>121</v>
      </c>
      <c r="O25" s="5"/>
      <c r="P25" s="5"/>
      <c r="Q25" s="11" t="str">
        <f>"Да"</f>
        <v>Да</v>
      </c>
    </row>
    <row r="26" spans="1:17" ht="21.75" customHeight="1" thickBot="1" x14ac:dyDescent="0.25">
      <c r="A26" s="12">
        <v>19</v>
      </c>
      <c r="B26" s="13" t="s">
        <v>154</v>
      </c>
      <c r="C26" s="18"/>
      <c r="D26" s="5"/>
      <c r="E26" s="14" t="str">
        <f>IF(OR($C$2="Все типы",$C$2="Офис",$C$2="Торговая",$C$2="ПСН"),"Да","—")</f>
        <v>Да</v>
      </c>
      <c r="G26" s="25">
        <v>19</v>
      </c>
      <c r="H26" s="26" t="s">
        <v>140</v>
      </c>
      <c r="I26" s="5"/>
      <c r="J26" s="5"/>
      <c r="K26" s="27" t="str">
        <f>IF(OR($C$2="Все типы",$C$2="Офис",$C$2="Торговая",$C$2="Здание",$C$2="Готовый бизнес"),"Да","—")</f>
        <v>Да</v>
      </c>
      <c r="M26" s="140" t="s">
        <v>301</v>
      </c>
      <c r="N26" s="141"/>
      <c r="O26" s="141"/>
      <c r="P26" s="141"/>
      <c r="Q26" s="142"/>
    </row>
    <row r="27" spans="1:17" ht="21.75" customHeight="1" thickBot="1" x14ac:dyDescent="0.25">
      <c r="A27" s="12">
        <v>20</v>
      </c>
      <c r="B27" s="13" t="s">
        <v>157</v>
      </c>
      <c r="C27" s="18"/>
      <c r="D27" s="5"/>
      <c r="E27" s="14" t="str">
        <f>IF(OR($C$2="Все типы",$C$2="Офис"),"Да","—")</f>
        <v>Да</v>
      </c>
      <c r="G27" s="25">
        <v>20</v>
      </c>
      <c r="H27" s="26" t="s">
        <v>143</v>
      </c>
      <c r="I27" s="5"/>
      <c r="J27" s="5"/>
      <c r="K27" s="27" t="str">
        <f>IF(OR($I$2="Все типы",$I$2="Готовый бизнес"),"Да","—")</f>
        <v>Да</v>
      </c>
      <c r="M27" s="15">
        <v>18</v>
      </c>
      <c r="N27" s="28" t="s">
        <v>122</v>
      </c>
      <c r="O27" s="5"/>
      <c r="P27" s="5"/>
      <c r="Q27" s="17" t="str">
        <f>IF(OR($O$2="Все типы",$O$2="Офис",$O$2="ПСН",$O$2="Торговая",$O$2="Склад",$O$2="Производство",$O$2="Общепит",$O$2="Гостиница",$O$2="Автосервис",$O$2="Здание"),"Да","—")</f>
        <v>Да</v>
      </c>
    </row>
    <row r="28" spans="1:17" ht="21.75" customHeight="1" thickBot="1" x14ac:dyDescent="0.25">
      <c r="A28" s="12">
        <v>21</v>
      </c>
      <c r="B28" s="13" t="s">
        <v>160</v>
      </c>
      <c r="C28" s="18"/>
      <c r="D28" s="5"/>
      <c r="E28" s="14" t="str">
        <f>IF(OR($C$2="Все типы",$C$2&lt;&gt;"Земля"),"Да","—")</f>
        <v>Да</v>
      </c>
      <c r="G28" s="103" t="s">
        <v>289</v>
      </c>
      <c r="H28" s="104"/>
      <c r="I28" s="104"/>
      <c r="J28" s="104"/>
      <c r="K28" s="105"/>
      <c r="M28" s="15">
        <v>19</v>
      </c>
      <c r="N28" s="28" t="s">
        <v>123</v>
      </c>
      <c r="O28" s="5"/>
      <c r="P28" s="5"/>
      <c r="Q28" s="17" t="str">
        <f>IF(OR($O$2="Все типы",$O$2="Офис",$O$2="Склад"),"Да","—")</f>
        <v>Да</v>
      </c>
    </row>
    <row r="29" spans="1:17" ht="21.75" customHeight="1" thickBot="1" x14ac:dyDescent="0.25">
      <c r="A29" s="12">
        <v>22</v>
      </c>
      <c r="B29" s="13" t="s">
        <v>163</v>
      </c>
      <c r="C29" s="18"/>
      <c r="D29" s="5"/>
      <c r="E29" s="14" t="str">
        <f>IF(OR($C$2="Все типы",$C$2&lt;&gt;"Земля"),"Да","—")</f>
        <v>Да</v>
      </c>
      <c r="G29" s="15">
        <v>21</v>
      </c>
      <c r="H29" s="28" t="s">
        <v>146</v>
      </c>
      <c r="I29" s="5"/>
      <c r="J29" s="5"/>
      <c r="K29" s="17" t="str">
        <f>IF(OR($C$2="Все типы",$C$2="Офис",$C$2="Склад",$C$2="Торговая",$C$2="ПСН",$C$2="Производство",$C$2="Здание"),"Да","—")</f>
        <v>Да</v>
      </c>
      <c r="M29" s="15">
        <v>20</v>
      </c>
      <c r="N29" s="28" t="s">
        <v>124</v>
      </c>
      <c r="O29" s="5"/>
      <c r="P29" s="5"/>
      <c r="Q29" s="17" t="str">
        <f>IF(OR($O$2="Все типы",$O$2="ПСН",$O$2="Торговая"),"Да","—")</f>
        <v>Да</v>
      </c>
    </row>
    <row r="30" spans="1:17" ht="21.75" customHeight="1" thickBot="1" x14ac:dyDescent="0.25">
      <c r="A30" s="12">
        <v>23</v>
      </c>
      <c r="B30" s="13" t="s">
        <v>166</v>
      </c>
      <c r="C30" s="18"/>
      <c r="D30" s="5"/>
      <c r="E30" s="14" t="str">
        <f>IF(OR($C$2="Все типы",$C$2&lt;&gt;"Земля"),"Да","—")</f>
        <v>Да</v>
      </c>
      <c r="G30" s="15">
        <v>22</v>
      </c>
      <c r="H30" s="28" t="s">
        <v>148</v>
      </c>
      <c r="I30" s="5"/>
      <c r="J30" s="5"/>
      <c r="K30" s="17" t="str">
        <f>IF(OR($C$2="Все типы",$C$2="Офис",$C$2="Склад",$C$2="Торговая",$C$2="ПСН",$C$2="Производство"),"Да","—")</f>
        <v>Да</v>
      </c>
      <c r="M30" s="143" t="s">
        <v>291</v>
      </c>
      <c r="N30" s="144"/>
      <c r="O30" s="144"/>
      <c r="P30" s="144"/>
      <c r="Q30" s="145"/>
    </row>
    <row r="31" spans="1:17" ht="21.75" customHeight="1" thickBot="1" x14ac:dyDescent="0.25">
      <c r="A31" s="12">
        <v>24</v>
      </c>
      <c r="B31" s="13" t="s">
        <v>140</v>
      </c>
      <c r="C31" s="18"/>
      <c r="D31" s="5"/>
      <c r="E31" s="14" t="str">
        <f>IF(OR($C$2="Все типы",$C$2="Офис",$C$2="Общепит"),"Да","—")</f>
        <v>Да</v>
      </c>
      <c r="G31" s="15">
        <v>23</v>
      </c>
      <c r="H31" s="28" t="s">
        <v>123</v>
      </c>
      <c r="I31" s="5"/>
      <c r="J31" s="5"/>
      <c r="K31" s="17" t="str">
        <f>IF(OR($C$2="Все типы",$C$2="Офис",$C$2="Склад",$C$2="Торговая",$C$2="ПСН",$C$2="Производство",$C$2="Здание"),"Да","—")</f>
        <v>Да</v>
      </c>
      <c r="M31" s="29">
        <v>21</v>
      </c>
      <c r="N31" s="30" t="s">
        <v>127</v>
      </c>
      <c r="O31" s="5"/>
      <c r="P31" s="5"/>
      <c r="Q31" s="31" t="str">
        <f>IF(OR($O$2="Все типы",$O$2="Офис",$O$2="ПСН",$O$2="Торговая",$O$2="Склад",$O$2="Производство",$O$2="Общепит",$O$2="Гостиница",$O$2="Автосервис",$O$2="Здание"),"Да","—")</f>
        <v>Да</v>
      </c>
    </row>
    <row r="32" spans="1:17" ht="21.75" customHeight="1" thickBot="1" x14ac:dyDescent="0.25">
      <c r="A32" s="12">
        <v>25</v>
      </c>
      <c r="B32" s="13" t="s">
        <v>169</v>
      </c>
      <c r="C32" s="18"/>
      <c r="D32" s="5"/>
      <c r="E32" s="14" t="str">
        <f>IF(OR($C$2="Все типы",$C$2&lt;&gt;"Земля"),"Да","—")</f>
        <v>Да</v>
      </c>
      <c r="G32" s="15">
        <v>24</v>
      </c>
      <c r="H32" s="28" t="s">
        <v>152</v>
      </c>
      <c r="I32" s="5"/>
      <c r="J32" s="5"/>
      <c r="K32" s="17" t="str">
        <f>IF(OR($C$2="Все типы",$C$2="Офис",$C$2="Склад",$C$2="Торговая",$C$2="ПСН",$C$2="Производство",$C$2="Здание"),"Да","—")</f>
        <v>Да</v>
      </c>
      <c r="M32" s="29">
        <v>22</v>
      </c>
      <c r="N32" s="30" t="s">
        <v>129</v>
      </c>
      <c r="O32" s="5"/>
      <c r="P32" s="5"/>
      <c r="Q32" s="31" t="str">
        <f>IF(OR($O$2="Все типы",$O$2="Офис",$O$2="ПСН",$O$2="Торговая",$O$2="Склад",$O$2="Производство",$O$2="Общепит",$O$2="Гостиница",$O$2="Автосервис",$O$2="Здание"),"Да","—")</f>
        <v>Да</v>
      </c>
    </row>
    <row r="33" spans="1:17" ht="21.75" customHeight="1" thickBot="1" x14ac:dyDescent="0.25">
      <c r="A33" s="12">
        <v>26</v>
      </c>
      <c r="B33" s="13" t="s">
        <v>168</v>
      </c>
      <c r="C33" s="18"/>
      <c r="D33" s="5"/>
      <c r="E33" s="14" t="str">
        <f>IF(OR($C$2="Все типы",$C$2&lt;&gt;"Земля"),"Да","—")</f>
        <v>Да</v>
      </c>
      <c r="G33" s="15">
        <v>25</v>
      </c>
      <c r="H33" s="28" t="s">
        <v>155</v>
      </c>
      <c r="I33" s="5"/>
      <c r="J33" s="5"/>
      <c r="K33" s="17" t="str">
        <f>IF(OR($C$2="Все типы",$C$2="Офис",$C$2="Склад",$C$2="Торговая",$C$2="ПСН",$C$2="Производство",$C$2="Здание"),"Да","—")</f>
        <v>Да</v>
      </c>
      <c r="M33" s="146" t="s">
        <v>302</v>
      </c>
      <c r="N33" s="147"/>
      <c r="O33" s="147"/>
      <c r="P33" s="147"/>
      <c r="Q33" s="148"/>
    </row>
    <row r="34" spans="1:17" ht="24" customHeight="1" thickBot="1" x14ac:dyDescent="0.25">
      <c r="A34" s="12">
        <v>27</v>
      </c>
      <c r="B34" s="13" t="s">
        <v>172</v>
      </c>
      <c r="C34" s="18"/>
      <c r="D34" s="5"/>
      <c r="E34" s="14" t="str">
        <f>IF(OR($C$2="Все типы",$C$2&lt;&gt;"Земля"),"Да","—")</f>
        <v>Да</v>
      </c>
      <c r="G34" s="15">
        <v>26</v>
      </c>
      <c r="H34" s="28" t="s">
        <v>158</v>
      </c>
      <c r="I34" s="5"/>
      <c r="J34" s="5"/>
      <c r="K34" s="17" t="str">
        <f>IF(OR($C$2="Все типы",$C$2="Офис",$C$2="Склад",$C$2="Производство"),"Да","—")</f>
        <v>Да</v>
      </c>
      <c r="M34" s="7">
        <v>23</v>
      </c>
      <c r="N34" s="41" t="s">
        <v>138</v>
      </c>
      <c r="O34" s="5"/>
      <c r="P34" s="5"/>
      <c r="Q34" s="9" t="str">
        <f t="shared" ref="Q34:Q40" si="2">"Да"</f>
        <v>Да</v>
      </c>
    </row>
    <row r="35" spans="1:17" ht="21.75" customHeight="1" thickBot="1" x14ac:dyDescent="0.25">
      <c r="A35" s="12">
        <v>28</v>
      </c>
      <c r="B35" s="13" t="s">
        <v>174</v>
      </c>
      <c r="C35" s="18"/>
      <c r="D35" s="5"/>
      <c r="E35" s="14" t="str">
        <f>IF(OR($C$2="Все типы",$C$2&lt;&gt;"Земля"),"Да","—")</f>
        <v>Да</v>
      </c>
      <c r="G35" s="15">
        <v>27</v>
      </c>
      <c r="H35" s="28" t="s">
        <v>161</v>
      </c>
      <c r="I35" s="5"/>
      <c r="J35" s="5"/>
      <c r="K35" s="17" t="str">
        <f>IF(OR($C$2="Все типы",$C$2="Офис",$C$2="Склад"),"Да","—")</f>
        <v>Да</v>
      </c>
      <c r="M35" s="7">
        <v>24</v>
      </c>
      <c r="N35" s="41" t="s">
        <v>141</v>
      </c>
      <c r="O35" s="5"/>
      <c r="P35" s="5"/>
      <c r="Q35" s="9" t="str">
        <f t="shared" si="2"/>
        <v>Да</v>
      </c>
    </row>
    <row r="36" spans="1:17" ht="26" customHeight="1" thickBot="1" x14ac:dyDescent="0.25">
      <c r="A36" s="12">
        <v>29</v>
      </c>
      <c r="B36" s="13" t="s">
        <v>176</v>
      </c>
      <c r="C36" s="18"/>
      <c r="D36" s="5"/>
      <c r="E36" s="14" t="str">
        <f>"Да"</f>
        <v>Да</v>
      </c>
      <c r="G36" s="15">
        <v>28</v>
      </c>
      <c r="H36" s="28" t="s">
        <v>164</v>
      </c>
      <c r="I36" s="5"/>
      <c r="J36" s="5"/>
      <c r="K36" s="17" t="str">
        <f>IF(OR($C$2="Все типы",$C$2&lt;&gt;"Земля"),"Да","—")</f>
        <v>Да</v>
      </c>
      <c r="M36" s="7">
        <v>25</v>
      </c>
      <c r="N36" s="41" t="s">
        <v>144</v>
      </c>
      <c r="O36" s="5"/>
      <c r="P36" s="5"/>
      <c r="Q36" s="9" t="str">
        <f t="shared" si="2"/>
        <v>Да</v>
      </c>
    </row>
    <row r="37" spans="1:17" ht="21.75" customHeight="1" thickBot="1" x14ac:dyDescent="0.25">
      <c r="A37" s="12">
        <v>30</v>
      </c>
      <c r="B37" s="13" t="s">
        <v>178</v>
      </c>
      <c r="C37" s="18"/>
      <c r="D37" s="5"/>
      <c r="E37" s="14" t="str">
        <f>"Да"</f>
        <v>Да</v>
      </c>
      <c r="G37" s="15">
        <v>29</v>
      </c>
      <c r="H37" s="28" t="s">
        <v>167</v>
      </c>
      <c r="I37" s="5"/>
      <c r="J37" s="5"/>
      <c r="K37" s="17" t="str">
        <f t="shared" ref="K37:K42" si="3">IF(OR($C$2="Все типы",$C$2="Офис",$C$2="Склад",$C$2="Торговая",$C$2="ПСН",$C$2="Производство",$C$2="Здание"),"Да","—")</f>
        <v>Да</v>
      </c>
      <c r="M37" s="7">
        <v>26</v>
      </c>
      <c r="N37" s="41" t="s">
        <v>145</v>
      </c>
      <c r="O37" s="5"/>
      <c r="P37" s="5"/>
      <c r="Q37" s="9" t="str">
        <f t="shared" si="2"/>
        <v>Да</v>
      </c>
    </row>
    <row r="38" spans="1:17" ht="21.75" customHeight="1" thickBot="1" x14ac:dyDescent="0.25">
      <c r="A38" s="12">
        <v>31</v>
      </c>
      <c r="B38" s="13" t="s">
        <v>180</v>
      </c>
      <c r="C38" s="18"/>
      <c r="D38" s="5"/>
      <c r="E38" s="14" t="str">
        <f>IF(OR($C$2="Все типы",$C$2="Офис",$C$2="Склад",$C$2="Производство",$C$2="Земля",$C$2="Общепит",$C$2="Здание"),"Да","—")</f>
        <v>Да</v>
      </c>
      <c r="G38" s="15">
        <v>30</v>
      </c>
      <c r="H38" s="28" t="s">
        <v>168</v>
      </c>
      <c r="I38" s="5"/>
      <c r="J38" s="5"/>
      <c r="K38" s="17" t="str">
        <f t="shared" si="3"/>
        <v>Да</v>
      </c>
      <c r="M38" s="7">
        <v>27</v>
      </c>
      <c r="N38" s="41" t="s">
        <v>147</v>
      </c>
      <c r="O38" s="5"/>
      <c r="P38" s="5"/>
      <c r="Q38" s="9" t="str">
        <f t="shared" si="2"/>
        <v>Да</v>
      </c>
    </row>
    <row r="39" spans="1:17" ht="21.75" customHeight="1" thickBot="1" x14ac:dyDescent="0.25">
      <c r="A39" s="12">
        <v>32</v>
      </c>
      <c r="B39" s="13" t="s">
        <v>182</v>
      </c>
      <c r="C39" s="18"/>
      <c r="D39" s="5"/>
      <c r="E39" s="14" t="str">
        <f>"Да"</f>
        <v>Да</v>
      </c>
      <c r="G39" s="15">
        <v>31</v>
      </c>
      <c r="H39" s="28" t="s">
        <v>170</v>
      </c>
      <c r="I39" s="5"/>
      <c r="J39" s="5"/>
      <c r="K39" s="17" t="str">
        <f t="shared" si="3"/>
        <v>Да</v>
      </c>
      <c r="M39" s="7">
        <v>28</v>
      </c>
      <c r="N39" s="41" t="s">
        <v>149</v>
      </c>
      <c r="O39" s="5"/>
      <c r="P39" s="5"/>
      <c r="Q39" s="9" t="str">
        <f>IF(OR($O$2="Все типы",$O$2="Торговая",$O$2="Общепит"),"Да","—")</f>
        <v>Да</v>
      </c>
    </row>
    <row r="40" spans="1:17" ht="21.75" customHeight="1" thickBot="1" x14ac:dyDescent="0.25">
      <c r="A40" s="12">
        <v>33</v>
      </c>
      <c r="B40" s="13" t="s">
        <v>184</v>
      </c>
      <c r="C40" s="18"/>
      <c r="D40" s="5"/>
      <c r="E40" s="14" t="str">
        <f>IF(OR($C$2="Все типы",$C$2="Офис",$C$2="ПСН"),"Да","—")</f>
        <v>Да</v>
      </c>
      <c r="G40" s="15">
        <v>32</v>
      </c>
      <c r="H40" s="28" t="s">
        <v>171</v>
      </c>
      <c r="I40" s="5"/>
      <c r="J40" s="5"/>
      <c r="K40" s="17" t="str">
        <f t="shared" si="3"/>
        <v>Да</v>
      </c>
      <c r="M40" s="128" t="s">
        <v>303</v>
      </c>
      <c r="N40" s="129"/>
      <c r="O40" s="129"/>
      <c r="P40" s="129"/>
      <c r="Q40" s="130"/>
    </row>
    <row r="41" spans="1:17" ht="21.75" customHeight="1" thickBot="1" x14ac:dyDescent="0.25">
      <c r="A41" s="12">
        <v>34</v>
      </c>
      <c r="B41" s="13" t="s">
        <v>186</v>
      </c>
      <c r="C41" s="18"/>
      <c r="D41" s="5"/>
      <c r="E41" s="14" t="str">
        <f>IF(OR($C$2="Все типы",$C$2="Торговая",$C$2="ПСН"),"Да","—")</f>
        <v>Да</v>
      </c>
      <c r="G41" s="15">
        <v>33</v>
      </c>
      <c r="H41" s="28" t="s">
        <v>173</v>
      </c>
      <c r="I41" s="5"/>
      <c r="J41" s="5"/>
      <c r="K41" s="17" t="str">
        <f t="shared" si="3"/>
        <v>Да</v>
      </c>
      <c r="M41" s="38">
        <v>29</v>
      </c>
      <c r="N41" s="39" t="s">
        <v>153</v>
      </c>
      <c r="O41" s="5"/>
      <c r="P41" s="5"/>
      <c r="Q41" s="40" t="str">
        <f>IF(OR($O$2="Все типы",$O$2="Кладовая"),"Да","—")</f>
        <v>Да</v>
      </c>
    </row>
    <row r="42" spans="1:17" ht="21.75" customHeight="1" thickBot="1" x14ac:dyDescent="0.25">
      <c r="A42" s="12">
        <v>35</v>
      </c>
      <c r="B42" s="13" t="s">
        <v>188</v>
      </c>
      <c r="C42" s="18"/>
      <c r="D42" s="5"/>
      <c r="E42" s="14" t="str">
        <f>IF(OR($C$2="Все типы",$C$2&lt;&gt;"Земля"),"Да","—")</f>
        <v>Да</v>
      </c>
      <c r="G42" s="15">
        <v>34</v>
      </c>
      <c r="H42" s="28" t="s">
        <v>175</v>
      </c>
      <c r="I42" s="5"/>
      <c r="J42" s="5"/>
      <c r="K42" s="17" t="str">
        <f t="shared" si="3"/>
        <v>Да</v>
      </c>
      <c r="M42" s="38">
        <v>30</v>
      </c>
      <c r="N42" s="39" t="s">
        <v>156</v>
      </c>
      <c r="O42" s="5"/>
      <c r="P42" s="5"/>
      <c r="Q42" s="40" t="str">
        <f>IF(OR($O$2="Все типы",$O$2="Кладовая"),"Да","—")</f>
        <v>Да</v>
      </c>
    </row>
    <row r="43" spans="1:17" ht="21.75" customHeight="1" thickBot="1" x14ac:dyDescent="0.25">
      <c r="A43" s="12">
        <v>36</v>
      </c>
      <c r="B43" s="13" t="s">
        <v>123</v>
      </c>
      <c r="C43" s="18"/>
      <c r="D43" s="5"/>
      <c r="E43" s="14" t="str">
        <f>IF(OR($C$2="Все типы",$C$2="Офис",$C$2="Готовый бизнес"),"Да","—")</f>
        <v>Да</v>
      </c>
      <c r="G43" s="15">
        <v>35</v>
      </c>
      <c r="H43" s="28" t="s">
        <v>177</v>
      </c>
      <c r="I43" s="5"/>
      <c r="J43" s="5"/>
      <c r="K43" s="17" t="str">
        <f>IF(OR($C$2="Все типы",$C$2="Склад",$C$2="Производство"),"Да","—")</f>
        <v>Да</v>
      </c>
      <c r="M43" s="38">
        <v>31</v>
      </c>
      <c r="N43" s="39" t="s">
        <v>159</v>
      </c>
      <c r="O43" s="5"/>
      <c r="P43" s="5"/>
      <c r="Q43" s="40" t="str">
        <f>IF(OR($O$2="Все типы",$O$2="Кладовая"),"Да","—")</f>
        <v>Да</v>
      </c>
    </row>
    <row r="44" spans="1:17" ht="24" customHeight="1" thickBot="1" x14ac:dyDescent="0.25">
      <c r="A44" s="12">
        <v>37</v>
      </c>
      <c r="B44" s="13" t="s">
        <v>164</v>
      </c>
      <c r="C44" s="18"/>
      <c r="D44" s="5"/>
      <c r="E44" s="14" t="str">
        <f>IF(OR($C$2="Все типы",$C$2&lt;&gt;"Земля"),"Да","—")</f>
        <v>Да</v>
      </c>
      <c r="G44" s="15">
        <v>36</v>
      </c>
      <c r="H44" s="28" t="s">
        <v>179</v>
      </c>
      <c r="I44" s="5"/>
      <c r="J44" s="5"/>
      <c r="K44" s="17" t="str">
        <f>IF(OR($C$2="Все типы",$C$2="Офис",$C$2="Склад",$C$2="Торговая",$C$2="ПСН",$C$2="Производство",$C$2="Здание"),"Да","—")</f>
        <v>Да</v>
      </c>
      <c r="M44" s="38">
        <v>32</v>
      </c>
      <c r="N44" s="39" t="s">
        <v>162</v>
      </c>
      <c r="O44" s="5"/>
      <c r="P44" s="5"/>
      <c r="Q44" s="40" t="str">
        <f>IF(OR($O$2="Все типы",$O$2="Кладовая"),"Да","—")</f>
        <v>Да</v>
      </c>
    </row>
    <row r="45" spans="1:17" ht="21.75" customHeight="1" thickBot="1" x14ac:dyDescent="0.25">
      <c r="A45" s="12">
        <v>38</v>
      </c>
      <c r="B45" s="13" t="s">
        <v>191</v>
      </c>
      <c r="C45" s="18"/>
      <c r="D45" s="5"/>
      <c r="E45" s="14" t="str">
        <f>IF(OR($C$2="Все типы",$C$2="Офис",$C$2="Здание",$C$2="Торговая",$C$2="Склад"),"Да","—")</f>
        <v>Да</v>
      </c>
      <c r="G45" s="15">
        <v>37</v>
      </c>
      <c r="H45" s="28" t="s">
        <v>181</v>
      </c>
      <c r="I45" s="5"/>
      <c r="J45" s="5"/>
      <c r="K45" s="17" t="str">
        <f>IF(OR($C$2="Все типы",$C$2="Офис",$C$2="Склад",$C$2="Торговая",$C$2="ПСН",$C$2="Производство",$C$2="Здание"),"Да","—")</f>
        <v>Да</v>
      </c>
      <c r="M45" s="38">
        <v>33</v>
      </c>
      <c r="N45" s="39" t="s">
        <v>165</v>
      </c>
      <c r="O45" s="5"/>
      <c r="P45" s="5"/>
      <c r="Q45" s="40" t="str">
        <f>IF(OR($O$2="Все типы",$O$2="Кладовая"),"Да","—")</f>
        <v>Да</v>
      </c>
    </row>
    <row r="46" spans="1:17" ht="21.75" customHeight="1" thickBot="1" x14ac:dyDescent="0.25">
      <c r="A46" s="12">
        <v>39</v>
      </c>
      <c r="B46" s="13" t="s">
        <v>193</v>
      </c>
      <c r="C46" s="18"/>
      <c r="D46" s="5"/>
      <c r="E46" s="14" t="str">
        <f>IF(OR($C$2="Все типы",$C$2="Офис",$C$2="Склад",$C$2="Производство",$C$2="Здание"),"Да","—")</f>
        <v>Да</v>
      </c>
      <c r="G46" s="15">
        <v>38</v>
      </c>
      <c r="H46" s="28" t="s">
        <v>183</v>
      </c>
      <c r="I46" s="5"/>
      <c r="J46" s="5"/>
      <c r="K46" s="17" t="str">
        <f>IF(OR($C$2="Все типы",$C$2="Офис",$C$2="Склад",$C$2="Торговая",$C$2="ПСН",$C$2="Производство",$C$2="Здание"),"Да","—")</f>
        <v>Да</v>
      </c>
    </row>
    <row r="47" spans="1:17" ht="21.75" customHeight="1" thickBot="1" x14ac:dyDescent="0.25">
      <c r="A47" s="12">
        <v>40</v>
      </c>
      <c r="B47" s="13" t="s">
        <v>195</v>
      </c>
      <c r="C47" s="18"/>
      <c r="D47" s="5"/>
      <c r="E47" s="14" t="str">
        <f>IF(OR($C$2="Все типы",$C$2&lt;&gt;"Земля"),"Да","—")</f>
        <v>Да</v>
      </c>
      <c r="G47" s="15">
        <v>39</v>
      </c>
      <c r="H47" s="28" t="s">
        <v>185</v>
      </c>
      <c r="I47" s="5"/>
      <c r="J47" s="5"/>
      <c r="K47" s="17" t="str">
        <f>IF(OR($C$2="Все типы",$C$2="Офис",$C$2="Производство"),"Да","—")</f>
        <v>Да</v>
      </c>
    </row>
    <row r="48" spans="1:17" ht="21.75" customHeight="1" thickBot="1" x14ac:dyDescent="0.25">
      <c r="A48" s="12">
        <v>41</v>
      </c>
      <c r="B48" s="13" t="s">
        <v>197</v>
      </c>
      <c r="C48" s="18"/>
      <c r="D48" s="5"/>
      <c r="E48" s="14" t="str">
        <f>IF(OR($C$2="Все типы",$C$2&lt;&gt;"Земля"),"Да","—")</f>
        <v>Да</v>
      </c>
      <c r="G48" s="15">
        <v>40</v>
      </c>
      <c r="H48" s="28" t="s">
        <v>187</v>
      </c>
      <c r="I48" s="5"/>
      <c r="J48" s="5"/>
      <c r="K48" s="17" t="str">
        <f>IF(OR($C$2="Все типы",$C$2="Офис",$C$2="Склад",$C$2="Торговая",$C$2="ПСН",$C$2="Производство",$C$2="Готовый бизнес"),"Да","—")</f>
        <v>Да</v>
      </c>
    </row>
    <row r="49" spans="1:11" ht="21.75" customHeight="1" thickBot="1" x14ac:dyDescent="0.25">
      <c r="A49" s="12">
        <v>42</v>
      </c>
      <c r="B49" s="13" t="s">
        <v>199</v>
      </c>
      <c r="C49" s="18"/>
      <c r="D49" s="5"/>
      <c r="E49" s="14" t="str">
        <f>IF(OR($C$2="Все типы",$C$2="Офис",$C$2="Здание"),"Да","—")</f>
        <v>Да</v>
      </c>
      <c r="G49" s="15">
        <v>41</v>
      </c>
      <c r="H49" s="28" t="s">
        <v>189</v>
      </c>
      <c r="I49" s="5"/>
      <c r="J49" s="5"/>
      <c r="K49" s="17" t="str">
        <f>IF(OR($C$2="Все типы",$C$2="Офис",$C$2="Склад",$C$2="Торговая",$C$2="ПСН",$C$2="Производство",$C$2="Готовый бизнес"),"Да","—")</f>
        <v>Да</v>
      </c>
    </row>
    <row r="50" spans="1:11" ht="21.75" customHeight="1" thickBot="1" x14ac:dyDescent="0.25">
      <c r="A50" s="12">
        <v>43</v>
      </c>
      <c r="B50" s="13" t="s">
        <v>201</v>
      </c>
      <c r="C50" s="18"/>
      <c r="D50" s="5"/>
      <c r="E50" s="14" t="str">
        <f>IF(OR($C$2="Все типы",$C$2="Офис",$C$2="Здание"),"Да","—")</f>
        <v>Да</v>
      </c>
      <c r="G50" s="15">
        <v>42</v>
      </c>
      <c r="H50" s="28" t="s">
        <v>190</v>
      </c>
      <c r="I50" s="5"/>
      <c r="J50" s="5"/>
      <c r="K50" s="17" t="str">
        <f>IF(OR($C$2="Все типы",$C$2="Офис",$C$2="Склад",$C$2="Торговая",$C$2="ПСН",$C$2="Производство",$C$2="Готовый бизнес"),"Да","—")</f>
        <v>Да</v>
      </c>
    </row>
    <row r="51" spans="1:11" ht="21.75" customHeight="1" thickBot="1" x14ac:dyDescent="0.25">
      <c r="A51" s="12">
        <v>44</v>
      </c>
      <c r="B51" s="13" t="s">
        <v>203</v>
      </c>
      <c r="C51" s="18"/>
      <c r="D51" s="5"/>
      <c r="E51" s="14" t="str">
        <f>IF(OR($C$2="Все типы",$C$2="Офис",$C$2="Торговая",$C$2="Здание"),"Да","—")</f>
        <v>Да</v>
      </c>
      <c r="G51" s="106" t="s">
        <v>290</v>
      </c>
      <c r="H51" s="107"/>
      <c r="I51" s="107"/>
      <c r="J51" s="107"/>
      <c r="K51" s="108"/>
    </row>
    <row r="52" spans="1:11" ht="21.75" customHeight="1" thickBot="1" x14ac:dyDescent="0.25">
      <c r="A52" s="12">
        <v>45</v>
      </c>
      <c r="B52" s="13" t="s">
        <v>205</v>
      </c>
      <c r="C52" s="18"/>
      <c r="D52" s="5"/>
      <c r="E52" s="14" t="str">
        <f>IF(OR($C$2="Все типы",$C$2="Офис",$C$2="Торговая",$C$2="Здание"),"Да","—")</f>
        <v>Да</v>
      </c>
      <c r="G52" s="29">
        <v>43</v>
      </c>
      <c r="H52" s="30" t="s">
        <v>192</v>
      </c>
      <c r="I52" s="5"/>
      <c r="J52" s="5"/>
      <c r="K52" s="31" t="str">
        <f>IF(OR($C$2="Все типы",$C$2="Офис",$C$2="Склад",$C$2="Торговая",$C$2="Производство"),"Да","—")</f>
        <v>Да</v>
      </c>
    </row>
    <row r="53" spans="1:11" ht="21.75" customHeight="1" thickBot="1" x14ac:dyDescent="0.25">
      <c r="A53" s="12">
        <v>46</v>
      </c>
      <c r="B53" s="13" t="s">
        <v>207</v>
      </c>
      <c r="C53" s="18"/>
      <c r="D53" s="5"/>
      <c r="E53" s="14" t="str">
        <f>IF(OR($C$2="Все типы",$C$2="Офис",$C$2="Склад"),"Да","—")</f>
        <v>Да</v>
      </c>
      <c r="G53" s="29">
        <v>44</v>
      </c>
      <c r="H53" s="30" t="s">
        <v>194</v>
      </c>
      <c r="I53" s="5"/>
      <c r="J53" s="5"/>
      <c r="K53" s="31" t="str">
        <f>IF(OR($C$2="Все типы",$C$2="Офис",$C$2="Склад",$C$2="Торговая",$C$2="Производство"),"Да","—")</f>
        <v>Да</v>
      </c>
    </row>
    <row r="54" spans="1:11" ht="21.75" customHeight="1" thickBot="1" x14ac:dyDescent="0.25">
      <c r="A54" s="12">
        <v>47</v>
      </c>
      <c r="B54" s="13" t="s">
        <v>209</v>
      </c>
      <c r="C54" s="18"/>
      <c r="D54" s="5"/>
      <c r="E54" s="14" t="str">
        <f>"Да"</f>
        <v>Да</v>
      </c>
      <c r="G54" s="29">
        <v>45</v>
      </c>
      <c r="H54" s="30" t="s">
        <v>196</v>
      </c>
      <c r="I54" s="5"/>
      <c r="J54" s="5"/>
      <c r="K54" s="31" t="str">
        <f>IF(OR($C$2="Все типы",$C$2="Офис",$C$2="Склад",$C$2="Торговая",$C$2="Производство"),"Да","—")</f>
        <v>Да</v>
      </c>
    </row>
    <row r="55" spans="1:11" ht="21.75" customHeight="1" thickBot="1" x14ac:dyDescent="0.25">
      <c r="A55" s="12">
        <v>48</v>
      </c>
      <c r="B55" s="13" t="s">
        <v>211</v>
      </c>
      <c r="C55" s="18"/>
      <c r="D55" s="5"/>
      <c r="E55" s="14" t="str">
        <f>IF(OR($C$2="Все типы",$C$2="Офис",$C$2="Торговая",$C$2="ПСН",$C$2="Гостиница"),"Да","—")</f>
        <v>Да</v>
      </c>
      <c r="G55" s="29">
        <v>46</v>
      </c>
      <c r="H55" s="30" t="s">
        <v>198</v>
      </c>
      <c r="I55" s="5"/>
      <c r="J55" s="5"/>
      <c r="K55" s="31" t="str">
        <f>IF(OR($C$2="Все типы",$C$2="Офис",$C$2="Склад",$C$2="Торговая"),"Да","—")</f>
        <v>Да</v>
      </c>
    </row>
    <row r="56" spans="1:11" ht="21.75" customHeight="1" thickBot="1" x14ac:dyDescent="0.25">
      <c r="A56" s="83" t="s">
        <v>285</v>
      </c>
      <c r="B56" s="84"/>
      <c r="C56" s="84"/>
      <c r="D56" s="84"/>
      <c r="E56" s="85"/>
      <c r="G56" s="29">
        <v>47</v>
      </c>
      <c r="H56" s="30" t="s">
        <v>200</v>
      </c>
      <c r="I56" s="5"/>
      <c r="J56" s="5"/>
      <c r="K56" s="31" t="str">
        <f>IF(OR($C$2="Все типы",$C$2="Офис",$C$2="Торговая"),"Да","—")</f>
        <v>Да</v>
      </c>
    </row>
    <row r="57" spans="1:11" ht="21.75" customHeight="1" thickBot="1" x14ac:dyDescent="0.25">
      <c r="A57" s="15">
        <v>49</v>
      </c>
      <c r="B57" s="16" t="s">
        <v>214</v>
      </c>
      <c r="C57" s="18"/>
      <c r="D57" s="5"/>
      <c r="E57" s="17" t="str">
        <f>IF(OR($C$2="Все типы",$C$2="Склад"),"Да","—")</f>
        <v>Да</v>
      </c>
      <c r="G57" s="29">
        <v>48</v>
      </c>
      <c r="H57" s="30" t="s">
        <v>202</v>
      </c>
      <c r="I57" s="5"/>
      <c r="J57" s="5"/>
      <c r="K57" s="31" t="str">
        <f>IF(OR($C$2="Все типы",$C$2="Торговая"),"Да","—")</f>
        <v>Да</v>
      </c>
    </row>
    <row r="58" spans="1:11" ht="21.75" customHeight="1" thickBot="1" x14ac:dyDescent="0.25">
      <c r="A58" s="15">
        <v>50</v>
      </c>
      <c r="B58" s="16" t="s">
        <v>215</v>
      </c>
      <c r="C58" s="18"/>
      <c r="D58" s="5"/>
      <c r="E58" s="17" t="str">
        <f>IF(OR($C$2="Все типы",$C$2="Склад",$C$2="Производство"),"Да","—")</f>
        <v>Да</v>
      </c>
      <c r="G58" s="29">
        <v>49</v>
      </c>
      <c r="H58" s="30" t="s">
        <v>204</v>
      </c>
      <c r="I58" s="5"/>
      <c r="J58" s="5"/>
      <c r="K58" s="31" t="str">
        <f>IF(OR($C$2="Все типы",$C$2="Офис",$C$2="Торговая"),"Да","—")</f>
        <v>Да</v>
      </c>
    </row>
    <row r="59" spans="1:11" ht="21.75" customHeight="1" thickBot="1" x14ac:dyDescent="0.25">
      <c r="A59" s="15">
        <v>51</v>
      </c>
      <c r="B59" s="16" t="s">
        <v>217</v>
      </c>
      <c r="C59" s="18"/>
      <c r="D59" s="5"/>
      <c r="E59" s="17" t="str">
        <f>IF(OR($C$2="Все типы",$C$2="Склад"),"Да","—")</f>
        <v>Да</v>
      </c>
      <c r="G59" s="29">
        <v>50</v>
      </c>
      <c r="H59" s="30" t="s">
        <v>206</v>
      </c>
      <c r="I59" s="5"/>
      <c r="J59" s="5"/>
      <c r="K59" s="31" t="str">
        <f>IF(OR($C$2="Все типы",$C$2="Офис",$C$2="Торговая"),"Да","—")</f>
        <v>Да</v>
      </c>
    </row>
    <row r="60" spans="1:11" ht="21.75" customHeight="1" thickBot="1" x14ac:dyDescent="0.25">
      <c r="A60" s="15">
        <v>52</v>
      </c>
      <c r="B60" s="16" t="s">
        <v>219</v>
      </c>
      <c r="C60" s="18"/>
      <c r="D60" s="5"/>
      <c r="E60" s="17" t="str">
        <f t="shared" ref="E60:E67" si="4">IF(OR($C$2="Все типы",$C$2="Склад",$C$2="Производство"),"Да","—")</f>
        <v>Да</v>
      </c>
      <c r="G60" s="29">
        <v>51</v>
      </c>
      <c r="H60" s="30" t="s">
        <v>208</v>
      </c>
      <c r="I60" s="5"/>
      <c r="J60" s="5"/>
      <c r="K60" s="31" t="str">
        <f>IF(OR($C$2="Все типы",$C$2="Офис",$C$2="Торговая"),"Да","—")</f>
        <v>Да</v>
      </c>
    </row>
    <row r="61" spans="1:11" ht="21.75" customHeight="1" thickBot="1" x14ac:dyDescent="0.25">
      <c r="A61" s="15">
        <v>53</v>
      </c>
      <c r="B61" s="16" t="s">
        <v>221</v>
      </c>
      <c r="C61" s="18"/>
      <c r="D61" s="5"/>
      <c r="E61" s="17" t="str">
        <f t="shared" si="4"/>
        <v>Да</v>
      </c>
      <c r="G61" s="29">
        <v>52</v>
      </c>
      <c r="H61" s="30" t="s">
        <v>210</v>
      </c>
      <c r="I61" s="5"/>
      <c r="J61" s="5"/>
      <c r="K61" s="31" t="str">
        <f>IF(OR($C$2="Все типы",$C$2="Офис",$C$2="Торговая"),"Да","—")</f>
        <v>Да</v>
      </c>
    </row>
    <row r="62" spans="1:11" ht="21.75" customHeight="1" thickBot="1" x14ac:dyDescent="0.25">
      <c r="A62" s="15">
        <v>54</v>
      </c>
      <c r="B62" s="16" t="s">
        <v>223</v>
      </c>
      <c r="C62" s="18"/>
      <c r="D62" s="5"/>
      <c r="E62" s="17" t="str">
        <f t="shared" si="4"/>
        <v>Да</v>
      </c>
      <c r="G62" s="29">
        <v>53</v>
      </c>
      <c r="H62" s="30" t="s">
        <v>212</v>
      </c>
      <c r="I62" s="5"/>
      <c r="J62" s="5"/>
      <c r="K62" s="31" t="str">
        <f>IF(OR($C$2="Все типы",$C$2="Офис",$C$2="Торговая"),"Да","—")</f>
        <v>Да</v>
      </c>
    </row>
    <row r="63" spans="1:11" ht="21.75" customHeight="1" thickBot="1" x14ac:dyDescent="0.25">
      <c r="A63" s="15">
        <v>55</v>
      </c>
      <c r="B63" s="16" t="s">
        <v>225</v>
      </c>
      <c r="C63" s="18"/>
      <c r="D63" s="5"/>
      <c r="E63" s="17" t="str">
        <f t="shared" si="4"/>
        <v>Да</v>
      </c>
      <c r="G63" s="29">
        <v>54</v>
      </c>
      <c r="H63" s="30" t="s">
        <v>213</v>
      </c>
      <c r="I63" s="5"/>
      <c r="J63" s="5"/>
      <c r="K63" s="31" t="str">
        <f>IF(OR($C$2="Все типы",$C$2="Склад"),"Да","—")</f>
        <v>Да</v>
      </c>
    </row>
    <row r="64" spans="1:11" ht="21.75" customHeight="1" thickBot="1" x14ac:dyDescent="0.25">
      <c r="A64" s="15">
        <v>56</v>
      </c>
      <c r="B64" s="16" t="s">
        <v>227</v>
      </c>
      <c r="C64" s="18"/>
      <c r="D64" s="5"/>
      <c r="E64" s="17" t="str">
        <f t="shared" si="4"/>
        <v>Да</v>
      </c>
      <c r="G64" s="109" t="s">
        <v>291</v>
      </c>
      <c r="H64" s="110"/>
      <c r="I64" s="110"/>
      <c r="J64" s="110"/>
      <c r="K64" s="111"/>
    </row>
    <row r="65" spans="1:11" ht="21.75" customHeight="1" thickBot="1" x14ac:dyDescent="0.25">
      <c r="A65" s="15">
        <v>57</v>
      </c>
      <c r="B65" s="16" t="s">
        <v>229</v>
      </c>
      <c r="C65" s="18"/>
      <c r="D65" s="5"/>
      <c r="E65" s="17" t="str">
        <f t="shared" si="4"/>
        <v>Да</v>
      </c>
      <c r="G65" s="21">
        <v>55</v>
      </c>
      <c r="H65" s="22" t="s">
        <v>216</v>
      </c>
      <c r="I65" s="5"/>
      <c r="J65" s="5"/>
      <c r="K65" s="23" t="str">
        <f>IF(OR($C$2="Все типы",$C$2="Офис",$C$2="Склад",$C$2="Торговая",$C$2="ПСН",$C$2="Производство",$C$2="Здание",$C$2="Гараж"),"Да","—")</f>
        <v>Да</v>
      </c>
    </row>
    <row r="66" spans="1:11" ht="21.75" customHeight="1" thickBot="1" x14ac:dyDescent="0.25">
      <c r="A66" s="15">
        <v>58</v>
      </c>
      <c r="B66" s="16" t="s">
        <v>231</v>
      </c>
      <c r="C66" s="18"/>
      <c r="D66" s="5"/>
      <c r="E66" s="17" t="str">
        <f t="shared" si="4"/>
        <v>Да</v>
      </c>
      <c r="G66" s="21">
        <v>56</v>
      </c>
      <c r="H66" s="22" t="s">
        <v>218</v>
      </c>
      <c r="I66" s="5"/>
      <c r="J66" s="5"/>
      <c r="K66" s="23" t="str">
        <f>IF(OR($C$2="Все типы",$C$2="Офис",$C$2="Склад",$C$2="Торговая",$C$2="ПСН",$C$2="Производство",$C$2="Здание"),"Да","—")</f>
        <v>Да</v>
      </c>
    </row>
    <row r="67" spans="1:11" ht="21.75" customHeight="1" thickBot="1" x14ac:dyDescent="0.25">
      <c r="A67" s="15">
        <v>59</v>
      </c>
      <c r="B67" s="16" t="s">
        <v>232</v>
      </c>
      <c r="C67" s="18"/>
      <c r="D67" s="5"/>
      <c r="E67" s="17" t="str">
        <f t="shared" si="4"/>
        <v>Да</v>
      </c>
      <c r="G67" s="21">
        <v>57</v>
      </c>
      <c r="H67" s="22" t="s">
        <v>220</v>
      </c>
      <c r="I67" s="5"/>
      <c r="J67" s="5"/>
      <c r="K67" s="23" t="str">
        <f>IF(OR($C$2="Все типы",$C$2="Офис",$C$2="Склад",$C$2="Производство",$C$2="Здание"),"Да","—")</f>
        <v>Да</v>
      </c>
    </row>
    <row r="68" spans="1:11" ht="21.75" customHeight="1" thickBot="1" x14ac:dyDescent="0.25">
      <c r="A68" s="15">
        <v>60</v>
      </c>
      <c r="B68" s="16" t="s">
        <v>167</v>
      </c>
      <c r="C68" s="18"/>
      <c r="D68" s="5"/>
      <c r="E68" s="17" t="str">
        <f>IF(OR($C$2="Все типы",$C$2&lt;&gt;"Земля"),"Да","—")</f>
        <v>Да</v>
      </c>
      <c r="G68" s="21">
        <v>58</v>
      </c>
      <c r="H68" s="22" t="s">
        <v>222</v>
      </c>
      <c r="I68" s="5"/>
      <c r="J68" s="5"/>
      <c r="K68" s="23" t="str">
        <f>IF(OR($C$2="Все типы",$C$2="Офис",$C$2="Склад",$C$2="Производство",$C$2="Здание"),"Да","—")</f>
        <v>Да</v>
      </c>
    </row>
    <row r="69" spans="1:11" ht="21.75" customHeight="1" thickBot="1" x14ac:dyDescent="0.25">
      <c r="A69" s="15">
        <v>61</v>
      </c>
      <c r="B69" s="16" t="s">
        <v>235</v>
      </c>
      <c r="C69" s="18"/>
      <c r="D69" s="5"/>
      <c r="E69" s="17" t="str">
        <f>IF(OR($C$2="Все типы",$C$2="Офис",$C$2="Склад",$C$2="Производство",$C$2="Гостиница"),"Да","—")</f>
        <v>Да</v>
      </c>
      <c r="G69" s="21">
        <v>59</v>
      </c>
      <c r="H69" s="22" t="s">
        <v>224</v>
      </c>
      <c r="I69" s="5"/>
      <c r="J69" s="5"/>
      <c r="K69" s="23" t="str">
        <f>IF(OR($C$2="Все типы",$C$2="Офис",$C$2="Склад",$C$2="Торговая",$C$2="ПСН",$C$2="Производство",$C$2="Здание"),"Да","—")</f>
        <v>Да</v>
      </c>
    </row>
    <row r="70" spans="1:11" ht="21.75" customHeight="1" thickBot="1" x14ac:dyDescent="0.25">
      <c r="G70" s="21">
        <v>60</v>
      </c>
      <c r="H70" s="22" t="s">
        <v>226</v>
      </c>
      <c r="I70" s="5"/>
      <c r="J70" s="5"/>
      <c r="K70" s="23" t="str">
        <f>IF(OR($C$2="Все типы",$C$2="Склад",$C$2="Производство"),"Да","—")</f>
        <v>Да</v>
      </c>
    </row>
    <row r="71" spans="1:11" ht="21.75" customHeight="1" thickBot="1" x14ac:dyDescent="0.25">
      <c r="G71" s="21">
        <v>61</v>
      </c>
      <c r="H71" s="22" t="s">
        <v>228</v>
      </c>
      <c r="I71" s="5"/>
      <c r="J71" s="5"/>
      <c r="K71" s="23" t="str">
        <f>IF(OR($C$2="Все типы",$C$2="Склад",$C$2="Производство"),"Да","—")</f>
        <v>Да</v>
      </c>
    </row>
    <row r="72" spans="1:11" ht="21.75" customHeight="1" thickBot="1" x14ac:dyDescent="0.25">
      <c r="G72" s="21">
        <v>62</v>
      </c>
      <c r="H72" s="22" t="s">
        <v>230</v>
      </c>
      <c r="I72" s="5"/>
      <c r="J72" s="5"/>
      <c r="K72" s="23" t="str">
        <f>IF(OR($C$2="Все типы",$C$2="Склад",$C$2="Производство"),"Да","—")</f>
        <v>Да</v>
      </c>
    </row>
    <row r="73" spans="1:11" ht="21.75" customHeight="1" thickBot="1" x14ac:dyDescent="0.25">
      <c r="G73" s="112" t="s">
        <v>292</v>
      </c>
      <c r="H73" s="113"/>
      <c r="I73" s="113"/>
      <c r="J73" s="113"/>
      <c r="K73" s="114"/>
    </row>
    <row r="74" spans="1:11" ht="21.75" customHeight="1" thickBot="1" x14ac:dyDescent="0.25">
      <c r="G74" s="32">
        <v>63</v>
      </c>
      <c r="H74" s="22" t="s">
        <v>233</v>
      </c>
      <c r="I74" s="5"/>
      <c r="J74" s="5"/>
      <c r="K74" s="34" t="str">
        <f t="shared" ref="K74:K82" si="5">IF(OR($I$2="Все типы",$I$2="Склад",$I$2="Производство"),"Да","—")</f>
        <v>Да</v>
      </c>
    </row>
    <row r="75" spans="1:11" ht="21.75" customHeight="1" thickBot="1" x14ac:dyDescent="0.25">
      <c r="G75" s="32">
        <v>64</v>
      </c>
      <c r="H75" s="22" t="s">
        <v>234</v>
      </c>
      <c r="I75" s="5"/>
      <c r="J75" s="5"/>
      <c r="K75" s="34" t="str">
        <f t="shared" si="5"/>
        <v>Да</v>
      </c>
    </row>
    <row r="76" spans="1:11" ht="21.75" customHeight="1" thickBot="1" x14ac:dyDescent="0.25">
      <c r="G76" s="32">
        <v>65</v>
      </c>
      <c r="H76" s="22" t="s">
        <v>236</v>
      </c>
      <c r="I76" s="5"/>
      <c r="J76" s="5"/>
      <c r="K76" s="34" t="str">
        <f t="shared" si="5"/>
        <v>Да</v>
      </c>
    </row>
    <row r="77" spans="1:11" ht="21.75" customHeight="1" thickBot="1" x14ac:dyDescent="0.25">
      <c r="G77" s="32">
        <v>66</v>
      </c>
      <c r="H77" s="22" t="s">
        <v>237</v>
      </c>
      <c r="I77" s="5"/>
      <c r="J77" s="5"/>
      <c r="K77" s="34" t="str">
        <f t="shared" si="5"/>
        <v>Да</v>
      </c>
    </row>
    <row r="78" spans="1:11" ht="21.75" customHeight="1" thickBot="1" x14ac:dyDescent="0.25">
      <c r="G78" s="32">
        <v>67</v>
      </c>
      <c r="H78" s="22" t="s">
        <v>238</v>
      </c>
      <c r="I78" s="5"/>
      <c r="J78" s="5"/>
      <c r="K78" s="34" t="str">
        <f t="shared" si="5"/>
        <v>Да</v>
      </c>
    </row>
    <row r="79" spans="1:11" ht="21.75" customHeight="1" thickBot="1" x14ac:dyDescent="0.25">
      <c r="G79" s="32">
        <v>68</v>
      </c>
      <c r="H79" s="22" t="s">
        <v>239</v>
      </c>
      <c r="I79" s="5"/>
      <c r="J79" s="5"/>
      <c r="K79" s="34" t="str">
        <f t="shared" si="5"/>
        <v>Да</v>
      </c>
    </row>
    <row r="80" spans="1:11" ht="21.75" customHeight="1" thickBot="1" x14ac:dyDescent="0.25">
      <c r="G80" s="32">
        <v>69</v>
      </c>
      <c r="H80" s="22" t="s">
        <v>240</v>
      </c>
      <c r="I80" s="5"/>
      <c r="J80" s="5"/>
      <c r="K80" s="34" t="str">
        <f t="shared" si="5"/>
        <v>Да</v>
      </c>
    </row>
    <row r="81" spans="7:11" ht="21.75" customHeight="1" thickBot="1" x14ac:dyDescent="0.25">
      <c r="G81" s="32">
        <v>70</v>
      </c>
      <c r="H81" s="22" t="s">
        <v>241</v>
      </c>
      <c r="I81" s="5"/>
      <c r="J81" s="5"/>
      <c r="K81" s="34" t="str">
        <f t="shared" si="5"/>
        <v>Да</v>
      </c>
    </row>
    <row r="82" spans="7:11" ht="21.75" customHeight="1" thickBot="1" x14ac:dyDescent="0.25">
      <c r="G82" s="32">
        <v>71</v>
      </c>
      <c r="H82" s="22" t="s">
        <v>242</v>
      </c>
      <c r="I82" s="5"/>
      <c r="J82" s="5"/>
      <c r="K82" s="34" t="str">
        <f t="shared" si="5"/>
        <v>Да</v>
      </c>
    </row>
    <row r="83" spans="7:11" ht="21.75" customHeight="1" thickBot="1" x14ac:dyDescent="0.25">
      <c r="G83" s="115" t="s">
        <v>293</v>
      </c>
      <c r="H83" s="116"/>
      <c r="I83" s="116"/>
      <c r="J83" s="116"/>
      <c r="K83" s="117"/>
    </row>
    <row r="84" spans="7:11" ht="21.75" customHeight="1" thickBot="1" x14ac:dyDescent="0.25">
      <c r="G84" s="35">
        <v>72</v>
      </c>
      <c r="H84" s="36" t="s">
        <v>243</v>
      </c>
      <c r="I84" s="5"/>
      <c r="J84" s="5"/>
      <c r="K84" s="37" t="str">
        <f>IF(OR($I$2="Все типы",$I$2="Торговая",$I$2="ПСН"),"Да","—")</f>
        <v>Да</v>
      </c>
    </row>
    <row r="85" spans="7:11" ht="21.75" customHeight="1" thickBot="1" x14ac:dyDescent="0.25">
      <c r="G85" s="35">
        <v>73</v>
      </c>
      <c r="H85" s="36" t="s">
        <v>244</v>
      </c>
      <c r="I85" s="5"/>
      <c r="J85" s="5"/>
      <c r="K85" s="37" t="str">
        <f t="shared" ref="K85:K92" si="6">IF(OR($I$2="Все типы",$I$2="Торговая"),"Да","—")</f>
        <v>Да</v>
      </c>
    </row>
    <row r="86" spans="7:11" ht="24" customHeight="1" thickBot="1" x14ac:dyDescent="0.25">
      <c r="G86" s="35">
        <v>74</v>
      </c>
      <c r="H86" s="36" t="s">
        <v>245</v>
      </c>
      <c r="I86" s="5"/>
      <c r="J86" s="5"/>
      <c r="K86" s="37" t="str">
        <f t="shared" si="6"/>
        <v>Да</v>
      </c>
    </row>
    <row r="87" spans="7:11" ht="21.75" customHeight="1" thickBot="1" x14ac:dyDescent="0.25">
      <c r="G87" s="35">
        <v>75</v>
      </c>
      <c r="H87" s="36" t="s">
        <v>246</v>
      </c>
      <c r="I87" s="5"/>
      <c r="J87" s="5"/>
      <c r="K87" s="37" t="str">
        <f t="shared" si="6"/>
        <v>Да</v>
      </c>
    </row>
    <row r="88" spans="7:11" ht="21.75" customHeight="1" thickBot="1" x14ac:dyDescent="0.25">
      <c r="G88" s="35">
        <v>76</v>
      </c>
      <c r="H88" s="36" t="s">
        <v>247</v>
      </c>
      <c r="I88" s="5"/>
      <c r="J88" s="5"/>
      <c r="K88" s="37" t="str">
        <f t="shared" si="6"/>
        <v>Да</v>
      </c>
    </row>
    <row r="89" spans="7:11" ht="21.75" customHeight="1" thickBot="1" x14ac:dyDescent="0.25">
      <c r="G89" s="35">
        <v>77</v>
      </c>
      <c r="H89" s="36" t="s">
        <v>248</v>
      </c>
      <c r="I89" s="5"/>
      <c r="J89" s="5"/>
      <c r="K89" s="37" t="str">
        <f t="shared" si="6"/>
        <v>Да</v>
      </c>
    </row>
    <row r="90" spans="7:11" ht="21.75" customHeight="1" thickBot="1" x14ac:dyDescent="0.25">
      <c r="G90" s="35">
        <v>78</v>
      </c>
      <c r="H90" s="36" t="s">
        <v>249</v>
      </c>
      <c r="I90" s="5"/>
      <c r="J90" s="5"/>
      <c r="K90" s="37" t="str">
        <f t="shared" si="6"/>
        <v>Да</v>
      </c>
    </row>
    <row r="91" spans="7:11" ht="21.75" customHeight="1" thickBot="1" x14ac:dyDescent="0.25">
      <c r="G91" s="35">
        <v>79</v>
      </c>
      <c r="H91" s="36" t="s">
        <v>250</v>
      </c>
      <c r="I91" s="5"/>
      <c r="J91" s="5"/>
      <c r="K91" s="37" t="str">
        <f t="shared" si="6"/>
        <v>Да</v>
      </c>
    </row>
    <row r="92" spans="7:11" ht="21.75" customHeight="1" thickBot="1" x14ac:dyDescent="0.25">
      <c r="G92" s="35">
        <v>80</v>
      </c>
      <c r="H92" s="36" t="s">
        <v>251</v>
      </c>
      <c r="I92" s="5"/>
      <c r="J92" s="5"/>
      <c r="K92" s="37" t="str">
        <f t="shared" si="6"/>
        <v>Да</v>
      </c>
    </row>
    <row r="93" spans="7:11" ht="21.75" customHeight="1" thickBot="1" x14ac:dyDescent="0.25">
      <c r="G93" s="118" t="s">
        <v>294</v>
      </c>
      <c r="H93" s="119"/>
      <c r="I93" s="119"/>
      <c r="J93" s="119"/>
      <c r="K93" s="120"/>
    </row>
    <row r="94" spans="7:11" ht="21.75" customHeight="1" thickBot="1" x14ac:dyDescent="0.25">
      <c r="G94" s="32">
        <v>81</v>
      </c>
      <c r="H94" s="33" t="s">
        <v>252</v>
      </c>
      <c r="I94" s="5"/>
      <c r="J94" s="5"/>
      <c r="K94" s="34" t="str">
        <f>IF(OR($I$2="Все типы",$I$2&lt;&gt;"Земля"),"Да","—")</f>
        <v>Да</v>
      </c>
    </row>
    <row r="95" spans="7:11" ht="21.75" customHeight="1" thickBot="1" x14ac:dyDescent="0.25">
      <c r="G95" s="32">
        <v>82</v>
      </c>
      <c r="H95" s="33" t="s">
        <v>253</v>
      </c>
      <c r="I95" s="5"/>
      <c r="J95" s="5"/>
      <c r="K95" s="34" t="str">
        <f>"Да"</f>
        <v>Да</v>
      </c>
    </row>
    <row r="96" spans="7:11" ht="21.75" customHeight="1" thickBot="1" x14ac:dyDescent="0.25">
      <c r="G96" s="32">
        <v>83</v>
      </c>
      <c r="H96" s="33" t="s">
        <v>254</v>
      </c>
      <c r="I96" s="5"/>
      <c r="J96" s="5"/>
      <c r="K96" s="34" t="str">
        <f>"Да"</f>
        <v>Да</v>
      </c>
    </row>
    <row r="97" spans="1:11" ht="21.75" customHeight="1" thickBot="1" x14ac:dyDescent="0.25">
      <c r="G97" s="32">
        <v>84</v>
      </c>
      <c r="H97" s="33" t="s">
        <v>255</v>
      </c>
      <c r="I97" s="5"/>
      <c r="J97" s="5"/>
      <c r="K97" s="34" t="str">
        <f t="shared" ref="K97:K105" si="7">IF(OR($I$2="Все типы",$I$2&lt;&gt;"Земля"),"Да","—")</f>
        <v>Да</v>
      </c>
    </row>
    <row r="98" spans="1:11" ht="16" customHeight="1" thickBot="1" x14ac:dyDescent="0.25">
      <c r="G98" s="32">
        <v>85</v>
      </c>
      <c r="H98" s="33" t="s">
        <v>256</v>
      </c>
      <c r="I98" s="5"/>
      <c r="J98" s="5"/>
      <c r="K98" s="34" t="str">
        <f t="shared" si="7"/>
        <v>Да</v>
      </c>
    </row>
    <row r="99" spans="1:11" ht="16" customHeight="1" thickBot="1" x14ac:dyDescent="0.25">
      <c r="G99" s="32">
        <v>86</v>
      </c>
      <c r="H99" s="33" t="s">
        <v>257</v>
      </c>
      <c r="I99" s="5"/>
      <c r="J99" s="5"/>
      <c r="K99" s="34" t="str">
        <f t="shared" si="7"/>
        <v>Да</v>
      </c>
    </row>
    <row r="100" spans="1:11" ht="16" customHeight="1" thickBot="1" x14ac:dyDescent="0.25">
      <c r="A100" s="42"/>
      <c r="B100" s="43"/>
      <c r="G100" s="32">
        <v>87</v>
      </c>
      <c r="H100" s="33" t="s">
        <v>258</v>
      </c>
      <c r="I100" s="5"/>
      <c r="J100" s="5"/>
      <c r="K100" s="34" t="str">
        <f t="shared" si="7"/>
        <v>Да</v>
      </c>
    </row>
    <row r="101" spans="1:11" ht="16" customHeight="1" thickBot="1" x14ac:dyDescent="0.25">
      <c r="G101" s="32">
        <v>88</v>
      </c>
      <c r="H101" s="33" t="s">
        <v>259</v>
      </c>
      <c r="I101" s="5"/>
      <c r="J101" s="5"/>
      <c r="K101" s="34" t="str">
        <f t="shared" si="7"/>
        <v>Да</v>
      </c>
    </row>
    <row r="102" spans="1:11" ht="16" customHeight="1" thickBot="1" x14ac:dyDescent="0.25">
      <c r="G102" s="32">
        <v>89</v>
      </c>
      <c r="H102" s="33" t="s">
        <v>260</v>
      </c>
      <c r="I102" s="5"/>
      <c r="J102" s="5"/>
      <c r="K102" s="34" t="str">
        <f t="shared" si="7"/>
        <v>Да</v>
      </c>
    </row>
    <row r="103" spans="1:11" ht="16" customHeight="1" thickBot="1" x14ac:dyDescent="0.25">
      <c r="G103" s="32">
        <v>90</v>
      </c>
      <c r="H103" s="33" t="s">
        <v>261</v>
      </c>
      <c r="I103" s="5"/>
      <c r="J103" s="5"/>
      <c r="K103" s="34" t="str">
        <f t="shared" si="7"/>
        <v>Да</v>
      </c>
    </row>
    <row r="104" spans="1:11" ht="16" customHeight="1" thickBot="1" x14ac:dyDescent="0.25">
      <c r="G104" s="32">
        <v>91</v>
      </c>
      <c r="H104" s="33" t="s">
        <v>262</v>
      </c>
      <c r="I104" s="5"/>
      <c r="J104" s="5"/>
      <c r="K104" s="34" t="str">
        <f t="shared" si="7"/>
        <v>Да</v>
      </c>
    </row>
    <row r="105" spans="1:11" ht="16" customHeight="1" thickBot="1" x14ac:dyDescent="0.25">
      <c r="G105" s="32">
        <v>92</v>
      </c>
      <c r="H105" s="33" t="s">
        <v>263</v>
      </c>
      <c r="I105" s="5"/>
      <c r="J105" s="5"/>
      <c r="K105" s="34" t="str">
        <f t="shared" si="7"/>
        <v>Да</v>
      </c>
    </row>
    <row r="106" spans="1:11" ht="16" customHeight="1" thickBot="1" x14ac:dyDescent="0.25">
      <c r="G106" s="121" t="s">
        <v>295</v>
      </c>
      <c r="H106" s="122"/>
      <c r="I106" s="122"/>
      <c r="J106" s="122"/>
      <c r="K106" s="123"/>
    </row>
    <row r="107" spans="1:11" ht="19" customHeight="1" thickBot="1" x14ac:dyDescent="0.25">
      <c r="G107" s="25">
        <v>93</v>
      </c>
      <c r="H107" s="26" t="s">
        <v>264</v>
      </c>
      <c r="I107" s="5"/>
      <c r="J107" s="5"/>
      <c r="K107" s="27" t="str">
        <f>IF(OR($I$2="Все типы",$I$2="Готовый бизнес"),"Да","—")</f>
        <v>Да</v>
      </c>
    </row>
    <row r="108" spans="1:11" ht="18" customHeight="1" thickBot="1" x14ac:dyDescent="0.25">
      <c r="G108" s="124" t="s">
        <v>296</v>
      </c>
      <c r="H108" s="125"/>
      <c r="I108" s="125"/>
      <c r="J108" s="125"/>
      <c r="K108" s="126"/>
    </row>
    <row r="109" spans="1:11" ht="18" customHeight="1" thickBot="1" x14ac:dyDescent="0.25">
      <c r="G109" s="38">
        <v>94</v>
      </c>
      <c r="H109" s="39" t="s">
        <v>265</v>
      </c>
      <c r="I109" s="5"/>
      <c r="J109" s="5"/>
      <c r="K109" s="40" t="str">
        <f t="shared" ref="K109:K122" si="8">IF(OR($I$2="Все типы",$I$2="Гараж"),"Да","—")</f>
        <v>Да</v>
      </c>
    </row>
    <row r="110" spans="1:11" ht="18" customHeight="1" thickBot="1" x14ac:dyDescent="0.25">
      <c r="G110" s="38">
        <v>95</v>
      </c>
      <c r="H110" s="39" t="s">
        <v>266</v>
      </c>
      <c r="I110" s="5"/>
      <c r="J110" s="5"/>
      <c r="K110" s="40" t="str">
        <f t="shared" si="8"/>
        <v>Да</v>
      </c>
    </row>
    <row r="111" spans="1:11" ht="18" customHeight="1" thickBot="1" x14ac:dyDescent="0.25">
      <c r="G111" s="38">
        <v>96</v>
      </c>
      <c r="H111" s="39" t="s">
        <v>267</v>
      </c>
      <c r="I111" s="5"/>
      <c r="J111" s="5"/>
      <c r="K111" s="40" t="str">
        <f t="shared" si="8"/>
        <v>Да</v>
      </c>
    </row>
    <row r="112" spans="1:11" ht="18" customHeight="1" thickBot="1" x14ac:dyDescent="0.25">
      <c r="G112" s="38">
        <v>97</v>
      </c>
      <c r="H112" s="39" t="s">
        <v>178</v>
      </c>
      <c r="I112" s="5"/>
      <c r="J112" s="5"/>
      <c r="K112" s="40" t="str">
        <f t="shared" si="8"/>
        <v>Да</v>
      </c>
    </row>
    <row r="113" spans="7:11" ht="18" customHeight="1" thickBot="1" x14ac:dyDescent="0.25">
      <c r="G113" s="38">
        <v>98</v>
      </c>
      <c r="H113" s="39" t="s">
        <v>162</v>
      </c>
      <c r="I113" s="5"/>
      <c r="J113" s="5"/>
      <c r="K113" s="40" t="str">
        <f t="shared" si="8"/>
        <v>Да</v>
      </c>
    </row>
    <row r="114" spans="7:11" ht="18" customHeight="1" thickBot="1" x14ac:dyDescent="0.25">
      <c r="G114" s="38">
        <v>99</v>
      </c>
      <c r="H114" s="39" t="s">
        <v>167</v>
      </c>
      <c r="I114" s="5"/>
      <c r="J114" s="5"/>
      <c r="K114" s="40" t="str">
        <f t="shared" si="8"/>
        <v>Да</v>
      </c>
    </row>
    <row r="115" spans="7:11" ht="18" customHeight="1" thickBot="1" x14ac:dyDescent="0.25">
      <c r="G115" s="38">
        <v>100</v>
      </c>
      <c r="H115" s="39" t="s">
        <v>174</v>
      </c>
      <c r="I115" s="5"/>
      <c r="J115" s="5"/>
      <c r="K115" s="40" t="str">
        <f t="shared" si="8"/>
        <v>Да</v>
      </c>
    </row>
    <row r="116" spans="7:11" ht="25" customHeight="1" thickBot="1" x14ac:dyDescent="0.25">
      <c r="G116" s="38">
        <v>101</v>
      </c>
      <c r="H116" s="39" t="s">
        <v>172</v>
      </c>
      <c r="I116" s="5"/>
      <c r="J116" s="5"/>
      <c r="K116" s="40" t="str">
        <f t="shared" si="8"/>
        <v>Да</v>
      </c>
    </row>
    <row r="117" spans="7:11" ht="25" customHeight="1" thickBot="1" x14ac:dyDescent="0.25">
      <c r="G117" s="38">
        <v>102</v>
      </c>
      <c r="H117" s="39" t="s">
        <v>268</v>
      </c>
      <c r="I117" s="5"/>
      <c r="J117" s="5"/>
      <c r="K117" s="40" t="str">
        <f t="shared" si="8"/>
        <v>Да</v>
      </c>
    </row>
    <row r="118" spans="7:11" ht="25" customHeight="1" thickBot="1" x14ac:dyDescent="0.25">
      <c r="G118" s="38">
        <v>103</v>
      </c>
      <c r="H118" s="39" t="s">
        <v>269</v>
      </c>
      <c r="I118" s="5"/>
      <c r="J118" s="5"/>
      <c r="K118" s="40" t="str">
        <f t="shared" si="8"/>
        <v>Да</v>
      </c>
    </row>
    <row r="119" spans="7:11" ht="25" customHeight="1" thickBot="1" x14ac:dyDescent="0.25">
      <c r="G119" s="38">
        <v>104</v>
      </c>
      <c r="H119" s="39" t="s">
        <v>270</v>
      </c>
      <c r="I119" s="5"/>
      <c r="J119" s="5"/>
      <c r="K119" s="40" t="str">
        <f t="shared" si="8"/>
        <v>Да</v>
      </c>
    </row>
    <row r="120" spans="7:11" ht="25" customHeight="1" thickBot="1" x14ac:dyDescent="0.25">
      <c r="G120" s="38">
        <v>105</v>
      </c>
      <c r="H120" s="39" t="s">
        <v>271</v>
      </c>
      <c r="I120" s="5"/>
      <c r="J120" s="5"/>
      <c r="K120" s="40" t="str">
        <f t="shared" si="8"/>
        <v>Да</v>
      </c>
    </row>
    <row r="121" spans="7:11" ht="25" customHeight="1" thickBot="1" x14ac:dyDescent="0.25">
      <c r="G121" s="38">
        <v>106</v>
      </c>
      <c r="H121" s="39" t="s">
        <v>272</v>
      </c>
      <c r="I121" s="5"/>
      <c r="J121" s="5"/>
      <c r="K121" s="40" t="str">
        <f t="shared" si="8"/>
        <v>Да</v>
      </c>
    </row>
    <row r="122" spans="7:11" ht="25" customHeight="1" thickBot="1" x14ac:dyDescent="0.25">
      <c r="G122" s="38">
        <v>107</v>
      </c>
      <c r="H122" s="39" t="s">
        <v>273</v>
      </c>
      <c r="I122" s="5"/>
      <c r="J122" s="5"/>
      <c r="K122" s="40" t="str">
        <f t="shared" si="8"/>
        <v>Да</v>
      </c>
    </row>
    <row r="123" spans="7:11" ht="25" customHeight="1" thickBot="1" x14ac:dyDescent="0.25">
      <c r="G123" s="127" t="s">
        <v>297</v>
      </c>
      <c r="H123" s="92"/>
      <c r="I123" s="92"/>
      <c r="J123" s="92"/>
      <c r="K123" s="93"/>
    </row>
    <row r="124" spans="7:11" ht="25" customHeight="1" thickBot="1" x14ac:dyDescent="0.25">
      <c r="G124" s="3">
        <v>108</v>
      </c>
      <c r="H124" s="20" t="s">
        <v>274</v>
      </c>
      <c r="I124" s="5"/>
      <c r="J124" s="5"/>
      <c r="K124" s="6" t="str">
        <f>"Да"</f>
        <v>Да</v>
      </c>
    </row>
    <row r="125" spans="7:11" ht="25" customHeight="1" thickBot="1" x14ac:dyDescent="0.25">
      <c r="G125" s="3">
        <v>109</v>
      </c>
      <c r="H125" s="20" t="s">
        <v>275</v>
      </c>
      <c r="I125" s="5"/>
      <c r="J125" s="5"/>
      <c r="K125" s="6" t="str">
        <f>"Да"</f>
        <v>Да</v>
      </c>
    </row>
    <row r="126" spans="7:11" ht="25" customHeight="1" thickBot="1" x14ac:dyDescent="0.25">
      <c r="G126" s="3">
        <v>110</v>
      </c>
      <c r="H126" s="20" t="s">
        <v>276</v>
      </c>
      <c r="I126" s="5"/>
      <c r="J126" s="5"/>
      <c r="K126" s="6" t="str">
        <f>"Да"</f>
        <v>Да</v>
      </c>
    </row>
    <row r="127" spans="7:11" ht="25" customHeight="1" thickBot="1" x14ac:dyDescent="0.25">
      <c r="G127" s="3">
        <v>111</v>
      </c>
      <c r="H127" s="20" t="s">
        <v>277</v>
      </c>
      <c r="I127" s="5"/>
      <c r="J127" s="5"/>
      <c r="K127" s="6" t="str">
        <f>"Да"</f>
        <v>Да</v>
      </c>
    </row>
    <row r="128" spans="7:11" ht="25" customHeight="1" thickBot="1" x14ac:dyDescent="0.25">
      <c r="G128" s="3">
        <v>112</v>
      </c>
      <c r="H128" s="20" t="s">
        <v>278</v>
      </c>
      <c r="I128" s="5"/>
      <c r="J128" s="5"/>
      <c r="K128" s="6" t="str">
        <f>IF(OR($I$2="Все типы",AND($I$2&lt;&gt;"Гараж",$I$2&lt;&gt;"Земля")),"Да","—")</f>
        <v>Да</v>
      </c>
    </row>
    <row r="129" ht="25" customHeight="1" x14ac:dyDescent="0.2"/>
    <row r="130" ht="25" customHeight="1" x14ac:dyDescent="0.2"/>
    <row r="131" ht="23" customHeight="1" x14ac:dyDescent="0.2"/>
    <row r="132" ht="23" customHeight="1" x14ac:dyDescent="0.2"/>
    <row r="133" ht="23" customHeight="1" x14ac:dyDescent="0.2"/>
    <row r="134" ht="23" customHeight="1" x14ac:dyDescent="0.2"/>
    <row r="135" ht="23" customHeight="1" x14ac:dyDescent="0.2"/>
    <row r="136" ht="23" customHeight="1" x14ac:dyDescent="0.2"/>
    <row r="137" ht="23" customHeight="1" x14ac:dyDescent="0.2"/>
    <row r="138" ht="23" customHeight="1" x14ac:dyDescent="0.2"/>
    <row r="139" ht="23" customHeight="1" x14ac:dyDescent="0.2"/>
    <row r="140" ht="23" customHeight="1" x14ac:dyDescent="0.2"/>
    <row r="141" ht="23" customHeight="1" x14ac:dyDescent="0.2"/>
    <row r="142" ht="23" customHeight="1" x14ac:dyDescent="0.2"/>
    <row r="143" ht="23" customHeight="1" x14ac:dyDescent="0.2"/>
    <row r="144" ht="23" customHeight="1" x14ac:dyDescent="0.2"/>
    <row r="145" ht="23" customHeight="1" x14ac:dyDescent="0.2"/>
    <row r="146" ht="19" customHeight="1" x14ac:dyDescent="0.2"/>
    <row r="147" ht="19" customHeight="1" x14ac:dyDescent="0.2"/>
    <row r="148" ht="19" customHeight="1" x14ac:dyDescent="0.2"/>
    <row r="149" ht="19" customHeight="1" x14ac:dyDescent="0.2"/>
    <row r="150" ht="19" customHeight="1" x14ac:dyDescent="0.2"/>
    <row r="151" ht="19" customHeight="1" x14ac:dyDescent="0.2"/>
  </sheetData>
  <mergeCells count="31">
    <mergeCell ref="G93:K93"/>
    <mergeCell ref="G106:K106"/>
    <mergeCell ref="G108:K108"/>
    <mergeCell ref="M40:Q40"/>
    <mergeCell ref="M9:Q9"/>
    <mergeCell ref="M12:Q12"/>
    <mergeCell ref="M16:Q16"/>
    <mergeCell ref="M26:Q26"/>
    <mergeCell ref="M30:Q30"/>
    <mergeCell ref="M33:Q33"/>
    <mergeCell ref="A8:E8"/>
    <mergeCell ref="G15:K15"/>
    <mergeCell ref="G18:K18"/>
    <mergeCell ref="G28:K28"/>
    <mergeCell ref="G64:K64"/>
    <mergeCell ref="G73:K73"/>
    <mergeCell ref="G83:K83"/>
    <mergeCell ref="G2:H2"/>
    <mergeCell ref="A1:E1"/>
    <mergeCell ref="A2:B2"/>
    <mergeCell ref="M1:Q1"/>
    <mergeCell ref="M2:N2"/>
    <mergeCell ref="D2:E2"/>
    <mergeCell ref="A5:E5"/>
    <mergeCell ref="J2:K2"/>
    <mergeCell ref="G1:K1"/>
    <mergeCell ref="P2:Q2"/>
    <mergeCell ref="G123:K123"/>
    <mergeCell ref="G5:K5"/>
    <mergeCell ref="G51:K51"/>
    <mergeCell ref="M5:Q5"/>
  </mergeCells>
  <conditionalFormatting sqref="A100:D151 A6:D7 A8 A9:D69">
    <cfRule type="expression" dxfId="4" priority="8">
      <formula>$E6="—"</formula>
    </cfRule>
  </conditionalFormatting>
  <conditionalFormatting sqref="E5:E7 E9:E69 K6:K14 K16:K17 K19:K27 K29:K50 K52:K63 K65:K72 K74:K82 K84:K92 K94:K105 K107 K109:K128 Q41:Q45 Q5:Q8 Q10:Q11 Q13:Q15 Q17:Q25 Q27:Q29 Q31:Q32 Q34:Q39">
    <cfRule type="expression" dxfId="3" priority="6">
      <formula>ISNUMBER(SEARCH("Да",E5))</formula>
    </cfRule>
    <cfRule type="expression" dxfId="2" priority="7">
      <formula>E5="—"</formula>
    </cfRule>
  </conditionalFormatting>
  <conditionalFormatting sqref="G6:J14 G5 G16:J17 G19:J27 G18 G29:J50 G52:J63 G65:J72 G74:J82 G84:J92 G94:J105 G107:J107 G108 G10:G15 G21:G28 G31:G51 G54:G64 G67:G73 G76:G83 G86:G93 G96:G106 G109:J128">
    <cfRule type="expression" dxfId="1" priority="9">
      <formula>$K5="—"</formula>
    </cfRule>
  </conditionalFormatting>
  <conditionalFormatting sqref="M60:P151 M6:P8 M40 M10:P11 M9 M13:P15 M12 M17:P25 M16 M27:P29 M31:P32 M30 M33 M19:M26 M34:P39 M41:P45">
    <cfRule type="expression" dxfId="0" priority="10">
      <formula>$Q6="—"</formula>
    </cfRule>
  </conditionalFormatting>
  <dataValidations count="49">
    <dataValidation type="list" sqref="C2" xr:uid="{00000000-0002-0000-0100-000000000000}">
      <formula1>"Все типы,Офис,Торговая,ПСН,Склад,Производство,Земля,Готовый бизнес,Гостиница,Общепит,Здание"</formula1>
      <formula2>0</formula2>
    </dataValidation>
    <dataValidation type="list" allowBlank="1" sqref="D6" xr:uid="{00000000-0002-0000-0100-000001000000}">
      <formula1>"бизнес-центр,отдельно стоящее здание,жилой дом,торговый центр,склад"</formula1>
      <formula2>0</formula2>
    </dataValidation>
    <dataValidation type="list" allowBlank="1" sqref="D7" xr:uid="{00000000-0002-0000-0100-000002000000}">
      <formula1>"банк,салон красоты,продуктовый магазин,медцентр,шоурум,турагентство"</formula1>
      <formula2>0</formula2>
    </dataValidation>
    <dataValidation type="list" allowBlank="1" sqref="D18 D28:D38 D45:D48 D51 D53:D54 D58 D60:D66" xr:uid="{00000000-0002-0000-0100-000006000000}">
      <formula1>"да,нет"</formula1>
      <formula2>0</formula2>
    </dataValidation>
    <dataValidation type="list" allowBlank="1" sqref="D19" xr:uid="{00000000-0002-0000-0100-000008000000}">
      <formula1>"дизайнерский,евро,с отделкой,требует ремонта,хороший,частичный ремонт,черновая отделка"</formula1>
      <formula2>0</formula2>
    </dataValidation>
    <dataValidation type="list" allowBlank="1" sqref="D20" xr:uid="{00000000-0002-0000-0100-000009000000}">
      <formula1>"отличное,хорошее,нормальное,плохое"</formula1>
      <formula2>0</formula2>
    </dataValidation>
    <dataValidation type="list" allowBlank="1" sqref="D23" xr:uid="{00000000-0002-0000-0100-00000A000000}">
      <formula1>"1"</formula1>
      <formula2>0</formula2>
    </dataValidation>
    <dataValidation type="list" allowBlank="1" sqref="D25" xr:uid="{00000000-0002-0000-0100-00000C000000}">
      <formula1>"общий,отдельный"</formula1>
      <formula2>0</formula2>
    </dataValidation>
    <dataValidation type="list" allowBlank="1" sqref="D26" xr:uid="{00000000-0002-0000-0100-00000D000000}">
      <formula1>"да"</formula1>
      <formula2>0</formula2>
    </dataValidation>
    <dataValidation type="list" allowBlank="1" sqref="D40" xr:uid="{00000000-0002-0000-0100-00000E000000}">
      <formula1>"ковролин,ламинат,линолеум,паркет"</formula1>
      <formula2>0</formula2>
    </dataValidation>
    <dataValidation type="list" allowBlank="1" sqref="D41" xr:uid="{00000000-0002-0000-0100-00000F000000}">
      <formula1>"витринные,маленькие,обычные"</formula1>
      <formula2>0</formula2>
    </dataValidation>
    <dataValidation type="list" allowBlank="1" sqref="D42" xr:uid="{00000000-0002-0000-0100-000010000000}">
      <formula1>"во двор,на улицу,во двор и на улицу"</formula1>
      <formula2>0</formula2>
    </dataValidation>
    <dataValidation type="list" allowBlank="1" sqref="D43" xr:uid="{00000000-0002-0000-0100-000011000000}">
      <formula1>"A,A+,B,B+,C,C+"</formula1>
      <formula2>0</formula2>
    </dataValidation>
    <dataValidation type="list" allowBlank="1" sqref="D57" xr:uid="{00000000-0002-0000-0100-000012000000}">
      <formula1>"алкогольный,фармацевтический,овощехранилище"</formula1>
      <formula2>0</formula2>
    </dataValidation>
    <dataValidation type="list" allowBlank="1" showInputMessage="1" showErrorMessage="1" sqref="C6:C7 C57:C69 O41:O45 I6:I14 I16:I17 I19:I27 I29:I50 I52:I63 I65:I72 I74:I82 I84:I92 I94:I105 I107 I109:I122 I124:I128 O10:O11 O13:O15 O17:O25 O27:O29 O31:O32 C18:C55 C9:C16 O34:O39 O6:O8" xr:uid="{00000000-0002-0000-0100-000013000000}">
      <formula1>"Да,Нет"</formula1>
    </dataValidation>
    <dataValidation type="list" allowBlank="1" sqref="J111" xr:uid="{00000000-0002-0000-0100-000014000000}">
      <formula1>"по доверенности,кооператив,собственность"</formula1>
      <formula2>0</formula2>
    </dataValidation>
    <dataValidation type="list" allowBlank="1" sqref="J110" xr:uid="{00000000-0002-0000-0100-000015000000}">
      <formula1>"кирпич,металл"</formula1>
      <formula2>0</formula2>
    </dataValidation>
    <dataValidation type="list" allowBlank="1" sqref="J109" xr:uid="{00000000-0002-0000-0100-000016000000}">
      <formula1>"встроенный,капитальный,самострой,каркас"</formula1>
      <formula2>0</formula2>
    </dataValidation>
    <dataValidation type="list" allowBlank="1" sqref="J102:J105" xr:uid="{00000000-0002-0000-0100-000017000000}">
      <formula1>"граница,местоположение,нет"</formula1>
      <formula2>0</formula2>
    </dataValidation>
    <dataValidation type="list" allowBlank="1" sqref="J101" xr:uid="{00000000-0002-0000-0100-000018000000}">
      <formula1>"асфальт,грунт,нет"</formula1>
      <formula2>0</formula2>
    </dataValidation>
    <dataValidation type="list" allowBlank="1" sqref="J96 J107" xr:uid="{00000000-0002-0000-0100-000019000000}">
      <formula1>"собственность,аренда"</formula1>
      <formula2>0</formula2>
    </dataValidation>
    <dataValidation type="list" allowBlank="1" sqref="J95" xr:uid="{00000000-0002-0000-0100-00001A000000}">
      <formula1>"сотка,гектар"</formula1>
      <formula2>0</formula2>
    </dataValidation>
    <dataValidation type="list" allowBlank="1" sqref="J92" xr:uid="{00000000-0002-0000-0100-00001B000000}">
      <formula1>"круглосуточно,по графику"</formula1>
      <formula2>0</formula2>
    </dataValidation>
    <dataValidation type="list" allowBlank="1" sqref="J89" xr:uid="{00000000-0002-0000-0100-00001C000000}">
      <formula1>"каждый день,будни,выходные"</formula1>
      <formula2>0</formula2>
    </dataValidation>
    <dataValidation type="list" allowBlank="1" sqref="J85" xr:uid="{00000000-0002-0000-0100-00001D000000}">
      <formula1>"торговый центр,стрит-ритейл"</formula1>
      <formula2>0</formula2>
    </dataValidation>
    <dataValidation type="list" allowBlank="1" sqref="J76" xr:uid="{00000000-0002-0000-0100-00001E000000}">
      <formula1>"в ноль,док,пандус"</formula1>
      <formula2>0</formula2>
    </dataValidation>
    <dataValidation type="list" allowBlank="1" sqref="J71" xr:uid="{00000000-0002-0000-0100-00001F000000}">
      <formula1>"грузовой,пассажирский"</formula1>
      <formula2>0</formula2>
    </dataValidation>
    <dataValidation type="list" allowBlank="1" sqref="J70" xr:uid="{00000000-0002-0000-0100-000020000000}">
      <formula1>"внешний,внутренний"</formula1>
      <formula2>0</formula2>
    </dataValidation>
    <dataValidation type="list" allowBlank="1" sqref="J47" xr:uid="{00000000-0002-0000-0100-000021000000}">
      <formula1>"свободный,по пропускам"</formula1>
      <formula2>0</formula2>
    </dataValidation>
    <dataValidation type="list" allowBlank="1" sqref="J33" xr:uid="{00000000-0002-0000-0100-000022000000}">
      <formula1>"первая,вторая,другая"</formula1>
      <formula2>0</formula2>
    </dataValidation>
    <dataValidation type="list" allowBlank="1" sqref="J31" xr:uid="{00000000-0002-0000-0100-000023000000}">
      <formula1>"A,A+,B,B-,B+,C,D"</formula1>
      <formula2>0</formula2>
    </dataValidation>
    <dataValidation type="list" allowBlank="1" sqref="J21" xr:uid="{00000000-0002-0000-0100-000024000000}">
      <formula1>"общий с улицы,общий со двора,отдельный с улицы,отдельный со двора"</formula1>
      <formula2>0</formula2>
    </dataValidation>
    <dataValidation type="list" allowBlank="1" sqref="J20" xr:uid="{00000000-0002-0000-0100-000025000000}">
      <formula1>"кабинетная,коридорная,смешанная,открытое пространство"</formula1>
      <formula2>0</formula2>
    </dataValidation>
    <dataValidation type="list" allowBlank="1" sqref="J19" xr:uid="{00000000-0002-0000-0100-000026000000}">
      <formula1>"требуется косметический,требуется капитальный,типовой,с отделкой,дизайнерский,офисный"</formula1>
      <formula2>0</formula2>
    </dataValidation>
    <dataValidation type="list" allowBlank="1" sqref="J17" xr:uid="{00000000-0002-0000-0100-000028000000}">
      <formula1>"продажа,переуступка аренды"</formula1>
      <formula2>0</formula2>
    </dataValidation>
    <dataValidation type="list" allowBlank="1" sqref="J16 J68" xr:uid="{00000000-0002-0000-0100-000029000000}">
      <formula1>"рубли,доллары,евро"</formula1>
      <formula2>0</formula2>
    </dataValidation>
    <dataValidation type="list" allowBlank="1" sqref="J14" xr:uid="{00000000-0002-0000-0100-00002A000000}">
      <formula1>"пешком,транспортом"</formula1>
      <formula2>0</formula2>
    </dataValidation>
    <dataValidation type="list" allowBlank="1" sqref="J9 J22 J24 J26:J27 J52:J63 J69 J80:J82 J84 J86 J97 J99:J100 J112:J122 J125 P18 P34 P41:P42 P44:P45" xr:uid="{00000000-0002-0000-0100-00002C000000}">
      <formula1>"Да,Нет"</formula1>
      <formula2>0</formula2>
    </dataValidation>
    <dataValidation type="list" sqref="I2" xr:uid="{00000000-0002-0000-0100-00002D000000}">
      <formula1>"Все типы,Офис,Торговая,ПСН,Склад,Производство,Здание,Земля,Готовый бизнес,Гараж"</formula1>
      <formula2>0</formula2>
    </dataValidation>
    <dataValidation type="list" sqref="O2" xr:uid="{00000000-0002-0000-0100-00002E000000}">
      <formula1>"Все типы,Офис,ПСН,Торговая,Склад,Производство,Общепит,Гостиница,Автосервис,Здание,Кладовая"</formula1>
      <formula2>0</formula2>
    </dataValidation>
    <dataValidation type="list" allowBlank="1" sqref="P38:P39" xr:uid="{00000000-0002-0000-0100-00002F000000}">
      <formula1>"Есть,Нет"</formula1>
      <formula2>0</formula2>
    </dataValidation>
    <dataValidation type="list" allowBlank="1" sqref="P29" xr:uid="{00000000-0002-0000-0100-000030000000}">
      <formula1>"Первая линия,Вторая линия и дальше"</formula1>
      <formula2>0</formula2>
    </dataValidation>
    <dataValidation type="list" allowBlank="1" sqref="P28" xr:uid="{00000000-0002-0000-0100-000031000000}">
      <formula1>"A,B,C"</formula1>
      <formula2>0</formula2>
    </dataValidation>
    <dataValidation type="list" allowBlank="1" sqref="P27" xr:uid="{00000000-0002-0000-0100-000032000000}">
      <formula1>"Проект,Строится,В эксплуатации"</formula1>
      <formula2>0</formula2>
    </dataValidation>
    <dataValidation type="list" allowBlank="1" sqref="P21" xr:uid="{00000000-0002-0000-0100-000033000000}">
      <formula1>"Несколько этажей"</formula1>
      <formula2>0</formula2>
    </dataValidation>
    <dataValidation type="list" allowBlank="1" sqref="P20" xr:uid="{00000000-0002-0000-0100-000034000000}">
      <formula1>"Отдельный вход"</formula1>
      <formula2>0</formula2>
    </dataValidation>
    <dataValidation type="list" allowBlank="1" sqref="P19" xr:uid="{00000000-0002-0000-0100-000035000000}">
      <formula1>"Для уличной торговли,В торговом комплексе"</formula1>
      <formula2>0</formula2>
    </dataValidation>
    <dataValidation type="list" allowBlank="1" sqref="P8" xr:uid="{00000000-0002-0000-0100-000038000000}">
      <formula1>"Забронировано"</formula1>
      <formula2>0</formula2>
    </dataValidation>
    <dataValidation type="list" allowBlank="1" sqref="P6" xr:uid="{00000000-0002-0000-0100-000039000000}">
      <formula1>"за всё,за м2"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Инструкция</vt:lpstr>
      <vt:lpstr>Коммерция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Артём</cp:lastModifiedBy>
  <cp:revision>0</cp:revision>
  <dcterms:created xsi:type="dcterms:W3CDTF">2026-08-05T14:27:13Z</dcterms:created>
  <dcterms:modified xsi:type="dcterms:W3CDTF">2026-08-06T11:03:13Z</dcterms:modified>
  <dc:language>en-US</dc:language>
</cp:coreProperties>
</file>